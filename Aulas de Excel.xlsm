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9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0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uciano\Desktop\"/>
    </mc:Choice>
  </mc:AlternateContent>
  <bookViews>
    <workbookView xWindow="0" yWindow="0" windowWidth="11670" windowHeight="4575" firstSheet="51" activeTab="52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  <sheet name="Planilha2" sheetId="36" state="hidden" r:id="rId27"/>
    <sheet name="Segmentação de Dados" sheetId="35" r:id="rId28"/>
    <sheet name="Gráfico Dinamico e Segmentação" sheetId="37" r:id="rId29"/>
    <sheet name="Planilha de Testes" sheetId="38" r:id="rId30"/>
    <sheet name="Vinculo entre Planilhas" sheetId="39" r:id="rId31"/>
    <sheet name="Barra de rolagem" sheetId="40" r:id="rId32"/>
    <sheet name="Funções Financeiras" sheetId="41" r:id="rId33"/>
    <sheet name="Fluxograma" sheetId="42" r:id="rId34"/>
    <sheet name="Juros Simples" sheetId="43" r:id="rId35"/>
    <sheet name="Planilha5" sheetId="45" r:id="rId36"/>
    <sheet name="Planilha de Previsão" sheetId="44" r:id="rId37"/>
    <sheet name="Atingir Meta" sheetId="46" r:id="rId38"/>
    <sheet name="Gerenciador de Cenários" sheetId="47" r:id="rId39"/>
    <sheet name="Menu Lateral" sheetId="48" r:id="rId40"/>
    <sheet name="Plan Lat1" sheetId="49" r:id="rId41"/>
    <sheet name="Plan Lat2" sheetId="50" r:id="rId42"/>
    <sheet name="Função Transpor" sheetId="51" r:id="rId43"/>
    <sheet name="Controle de acesso" sheetId="52" r:id="rId44"/>
    <sheet name="Gráfico com indicadores" sheetId="53" r:id="rId45"/>
    <sheet name="Impressão" sheetId="54" r:id="rId46"/>
    <sheet name="Macros" sheetId="55" r:id="rId47"/>
    <sheet name="Dashboard" sheetId="56" r:id="rId48"/>
    <sheet name="Planilha3" sheetId="57" r:id="rId49"/>
    <sheet name="Nova Funcionalidade SES" sheetId="58" r:id="rId50"/>
    <sheet name="Função Parametro" sheetId="59" r:id="rId51"/>
    <sheet name="Função Concat Unir texto" sheetId="60" r:id="rId52"/>
    <sheet name="Função Éerro e Érros" sheetId="61" r:id="rId53"/>
  </sheets>
  <externalReferences>
    <externalReference r:id="rId54"/>
  </externalReferences>
  <definedNames>
    <definedName name="_xlnm._FilterDatabase" localSheetId="47" hidden="1">Dashboard!$A$1:$D$21</definedName>
    <definedName name="_xlnm._FilterDatabase" localSheetId="22" hidden="1">'Filtro Avançado com Macro'!$A$1:$C$10</definedName>
    <definedName name="_xlnm._FilterDatabase" localSheetId="46" hidden="1">Macros!$A$6:$J$13</definedName>
    <definedName name="_xlnm._FilterDatabase" localSheetId="27" hidden="1">'Segmentação de Dados'!$A$1:$E$8</definedName>
    <definedName name="aplicacao">'Juros Simples'!$G$2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NativeTimeline_Data">#N/A</definedName>
    <definedName name="Prova">'Formatação Condicional'!$H$3:$I$7</definedName>
    <definedName name="Salarios">'Gráfico Dinamico e Segmentação'!$A$2:$B$8</definedName>
    <definedName name="SegmentaçãodeDados_Forma_de_Pagamento1">#N/A</definedName>
    <definedName name="SegmentaçãodeDados_Sistema_Operacional">#N/A</definedName>
    <definedName name="SegmentaçãodeDados_Tabela">#N/A</definedName>
    <definedName name="SegmentaçãodeDados_Valor_da_Licença">#N/A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axa">'Juros Simples'!$G$3</definedName>
    <definedName name="Trabalho">'Formatação Condicional'!$C$8:$G$9</definedName>
    <definedName name="vendas">'Barra de rolagem'!$A$2:$C$21</definedName>
  </definedNames>
  <calcPr calcId="162913"/>
  <pivotCaches>
    <pivotCache cacheId="0" r:id="rId55"/>
    <pivotCache cacheId="1" r:id="rId56"/>
    <pivotCache cacheId="2" r:id="rId57"/>
    <pivotCache cacheId="3" r:id="rId58"/>
    <pivotCache cacheId="4" r:id="rId59"/>
  </pivotCaches>
  <fileRecoveryPr repairLoad="1"/>
  <extLst>
    <ext xmlns:x14="http://schemas.microsoft.com/office/spreadsheetml/2009/9/main" uri="{BBE1A952-AA13-448e-AADC-164F8A28A991}">
      <x14:slicerCaches>
        <x14:slicerCache r:id="rId60"/>
        <x14:slicerCache r:id="rId6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2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63"/>
        <x14:slicerCache r:id="rId6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0" l="1"/>
  <c r="E2" i="60"/>
  <c r="B3" i="58" l="1"/>
  <c r="C3" i="58"/>
  <c r="C3" i="56" l="1"/>
  <c r="C4" i="56"/>
  <c r="C5" i="56"/>
  <c r="C6" i="56"/>
  <c r="C7" i="56"/>
  <c r="C8" i="56"/>
  <c r="C9" i="56"/>
  <c r="C10" i="56"/>
  <c r="C11" i="56"/>
  <c r="C13" i="56"/>
  <c r="C14" i="56"/>
  <c r="C15" i="56"/>
  <c r="C16" i="56"/>
  <c r="C17" i="56"/>
  <c r="C18" i="56"/>
  <c r="C19" i="56"/>
  <c r="C20" i="56"/>
  <c r="C21" i="56"/>
  <c r="C2" i="56"/>
  <c r="F7" i="55"/>
  <c r="G7" i="55"/>
  <c r="I7" i="55"/>
  <c r="J7" i="55" s="1"/>
  <c r="F8" i="55"/>
  <c r="G8" i="55"/>
  <c r="I8" i="55"/>
  <c r="J8" i="55" s="1"/>
  <c r="F9" i="55"/>
  <c r="G9" i="55"/>
  <c r="I9" i="55"/>
  <c r="J9" i="55" s="1"/>
  <c r="F10" i="55"/>
  <c r="G10" i="55"/>
  <c r="I10" i="55"/>
  <c r="J10" i="55" s="1"/>
  <c r="F11" i="55"/>
  <c r="G11" i="55"/>
  <c r="I11" i="55"/>
  <c r="J11" i="55" s="1"/>
  <c r="F12" i="55"/>
  <c r="G12" i="55"/>
  <c r="I12" i="55"/>
  <c r="J12" i="55" s="1"/>
  <c r="C13" i="55"/>
  <c r="D13" i="55"/>
  <c r="E13" i="55"/>
  <c r="H13" i="55"/>
  <c r="F13" i="55" l="1"/>
  <c r="I13" i="55"/>
  <c r="G13" i="55"/>
  <c r="E18" i="54"/>
  <c r="F18" i="54"/>
  <c r="G18" i="54"/>
  <c r="H18" i="54"/>
  <c r="I18" i="54"/>
  <c r="D18" i="54"/>
  <c r="H19" i="54"/>
  <c r="D12" i="54"/>
  <c r="E12" i="54"/>
  <c r="F12" i="54"/>
  <c r="G12" i="54"/>
  <c r="H12" i="54"/>
  <c r="I12" i="54"/>
  <c r="J12" i="54"/>
  <c r="K12" i="54"/>
  <c r="L12" i="54"/>
  <c r="M12" i="54"/>
  <c r="N12" i="54"/>
  <c r="C12" i="54"/>
  <c r="B12" i="54"/>
  <c r="C11" i="54"/>
  <c r="D11" i="54"/>
  <c r="E11" i="54"/>
  <c r="F11" i="54"/>
  <c r="G11" i="54"/>
  <c r="H11" i="54"/>
  <c r="I11" i="54"/>
  <c r="J11" i="54"/>
  <c r="K11" i="54"/>
  <c r="L11" i="54"/>
  <c r="M11" i="54"/>
  <c r="N11" i="54"/>
  <c r="B11" i="54"/>
  <c r="B4" i="54"/>
  <c r="C4" i="54"/>
  <c r="D4" i="54"/>
  <c r="E4" i="54"/>
  <c r="F4" i="54"/>
  <c r="G4" i="54"/>
  <c r="H4" i="54"/>
  <c r="I4" i="54"/>
  <c r="J4" i="54"/>
  <c r="K4" i="54"/>
  <c r="L4" i="54"/>
  <c r="M4" i="54"/>
  <c r="N4" i="54"/>
  <c r="B5" i="54"/>
  <c r="C5" i="54"/>
  <c r="D5" i="54"/>
  <c r="E5" i="54"/>
  <c r="F5" i="54"/>
  <c r="G5" i="54"/>
  <c r="H5" i="54"/>
  <c r="I5" i="54"/>
  <c r="J5" i="54"/>
  <c r="K5" i="54"/>
  <c r="L5" i="54"/>
  <c r="M5" i="54"/>
  <c r="N5" i="54"/>
  <c r="B6" i="54"/>
  <c r="C6" i="54"/>
  <c r="D6" i="54"/>
  <c r="E6" i="54"/>
  <c r="F6" i="54"/>
  <c r="G6" i="54"/>
  <c r="H6" i="54"/>
  <c r="I6" i="54"/>
  <c r="J6" i="54"/>
  <c r="K6" i="54"/>
  <c r="L6" i="54"/>
  <c r="M6" i="54"/>
  <c r="N6" i="54"/>
  <c r="B7" i="54"/>
  <c r="C7" i="54"/>
  <c r="D7" i="54"/>
  <c r="E7" i="54"/>
  <c r="F7" i="54"/>
  <c r="G7" i="54"/>
  <c r="H7" i="54"/>
  <c r="I7" i="54"/>
  <c r="J7" i="54"/>
  <c r="K7" i="54"/>
  <c r="L7" i="54"/>
  <c r="M7" i="54"/>
  <c r="N7" i="54"/>
  <c r="B8" i="54"/>
  <c r="C8" i="54"/>
  <c r="D8" i="54"/>
  <c r="E8" i="54"/>
  <c r="F8" i="54"/>
  <c r="G8" i="54"/>
  <c r="H8" i="54"/>
  <c r="I8" i="54"/>
  <c r="J8" i="54"/>
  <c r="K8" i="54"/>
  <c r="L8" i="54"/>
  <c r="M8" i="54"/>
  <c r="N8" i="54"/>
  <c r="B9" i="54"/>
  <c r="C9" i="54"/>
  <c r="D9" i="54"/>
  <c r="E9" i="54"/>
  <c r="F9" i="54"/>
  <c r="G9" i="54"/>
  <c r="H9" i="54"/>
  <c r="I9" i="54"/>
  <c r="J9" i="54"/>
  <c r="K9" i="54"/>
  <c r="L9" i="54"/>
  <c r="M9" i="54"/>
  <c r="N9" i="54"/>
  <c r="B10" i="54"/>
  <c r="C10" i="54"/>
  <c r="D10" i="54"/>
  <c r="E10" i="54"/>
  <c r="F10" i="54"/>
  <c r="G10" i="54"/>
  <c r="H10" i="54"/>
  <c r="I10" i="54"/>
  <c r="J10" i="54"/>
  <c r="K10" i="54"/>
  <c r="L10" i="54"/>
  <c r="M10" i="54"/>
  <c r="N10" i="54"/>
  <c r="C3" i="54"/>
  <c r="D3" i="54"/>
  <c r="E3" i="54"/>
  <c r="F3" i="54"/>
  <c r="G3" i="54"/>
  <c r="H3" i="54"/>
  <c r="I3" i="54"/>
  <c r="J3" i="54"/>
  <c r="K3" i="54"/>
  <c r="L3" i="54"/>
  <c r="M3" i="54"/>
  <c r="N3" i="54"/>
  <c r="B3" i="54"/>
  <c r="N2" i="54"/>
  <c r="E5" i="53" l="1"/>
  <c r="E6" i="53"/>
  <c r="E7" i="53"/>
  <c r="E8" i="53"/>
  <c r="E4" i="53"/>
  <c r="D5" i="53"/>
  <c r="D6" i="53"/>
  <c r="D7" i="53"/>
  <c r="D8" i="53"/>
  <c r="D4" i="53"/>
  <c r="C10" i="51" l="1"/>
  <c r="A5" i="51" a="1"/>
  <c r="A5" i="51" s="1"/>
  <c r="C6" i="51" l="1"/>
  <c r="A6" i="51"/>
  <c r="B5" i="51"/>
  <c r="B6" i="51"/>
  <c r="C5" i="51"/>
  <c r="C9" i="47"/>
  <c r="C11" i="47" s="1"/>
  <c r="D9" i="47"/>
  <c r="D11" i="47" s="1"/>
  <c r="E9" i="47"/>
  <c r="E11" i="47" s="1"/>
  <c r="F9" i="47"/>
  <c r="F10" i="47" s="1"/>
  <c r="G9" i="47"/>
  <c r="G11" i="47" s="1"/>
  <c r="H9" i="47"/>
  <c r="H11" i="47" s="1"/>
  <c r="I9" i="47"/>
  <c r="I11" i="47" s="1"/>
  <c r="J9" i="47"/>
  <c r="J11" i="47" s="1"/>
  <c r="K9" i="47"/>
  <c r="K11" i="47" s="1"/>
  <c r="L9" i="47"/>
  <c r="L11" i="47" s="1"/>
  <c r="M9" i="47"/>
  <c r="M11" i="47" s="1"/>
  <c r="B9" i="47"/>
  <c r="B10" i="47" s="1"/>
  <c r="B13" i="47" s="1"/>
  <c r="B31" i="46"/>
  <c r="B33" i="46"/>
  <c r="B32" i="46"/>
  <c r="E23" i="46"/>
  <c r="E18" i="46"/>
  <c r="D14" i="46"/>
  <c r="D15" i="46"/>
  <c r="D16" i="46"/>
  <c r="D17" i="46"/>
  <c r="D13" i="46"/>
  <c r="D18" i="46"/>
  <c r="E3" i="46"/>
  <c r="E4" i="46"/>
  <c r="E5" i="46"/>
  <c r="E6" i="46"/>
  <c r="E7" i="46"/>
  <c r="E8" i="46"/>
  <c r="E9" i="46"/>
  <c r="E2" i="46"/>
  <c r="D3" i="43"/>
  <c r="D5" i="43"/>
  <c r="D6" i="43"/>
  <c r="D7" i="43"/>
  <c r="D8" i="43"/>
  <c r="D9" i="43"/>
  <c r="D10" i="43"/>
  <c r="D11" i="43"/>
  <c r="D12" i="43"/>
  <c r="D13" i="43"/>
  <c r="D14" i="43"/>
  <c r="D4" i="43"/>
  <c r="C7" i="43"/>
  <c r="C8" i="43" s="1"/>
  <c r="C9" i="43" s="1"/>
  <c r="C10" i="43" s="1"/>
  <c r="C11" i="43" s="1"/>
  <c r="C12" i="43" s="1"/>
  <c r="C13" i="43" s="1"/>
  <c r="C14" i="43" s="1"/>
  <c r="C6" i="43"/>
  <c r="C5" i="43"/>
  <c r="C4" i="43"/>
  <c r="B6" i="43"/>
  <c r="B7" i="43"/>
  <c r="B8" i="43" s="1"/>
  <c r="B9" i="43" s="1"/>
  <c r="B10" i="43" s="1"/>
  <c r="B11" i="43" s="1"/>
  <c r="B12" i="43" s="1"/>
  <c r="B13" i="43" s="1"/>
  <c r="B14" i="43" s="1"/>
  <c r="B5" i="43"/>
  <c r="B4" i="43"/>
  <c r="C3" i="43"/>
  <c r="B3" i="43"/>
  <c r="C9" i="45"/>
  <c r="C11" i="45"/>
  <c r="C13" i="45"/>
  <c r="H3" i="45"/>
  <c r="H5" i="45"/>
  <c r="H7" i="45"/>
  <c r="C10" i="45"/>
  <c r="C12" i="45"/>
  <c r="H2" i="45"/>
  <c r="H4" i="45"/>
  <c r="H6" i="45"/>
  <c r="H8" i="45"/>
  <c r="J10" i="47" l="1"/>
  <c r="J12" i="47" s="1"/>
  <c r="B11" i="47"/>
  <c r="F11" i="47"/>
  <c r="B12" i="47"/>
  <c r="L10" i="47"/>
  <c r="L12" i="47" s="1"/>
  <c r="H10" i="47"/>
  <c r="H13" i="47" s="1"/>
  <c r="D10" i="47"/>
  <c r="D12" i="47" s="1"/>
  <c r="F12" i="47"/>
  <c r="J13" i="47"/>
  <c r="F13" i="47"/>
  <c r="M10" i="47"/>
  <c r="K10" i="47"/>
  <c r="I10" i="47"/>
  <c r="G10" i="47"/>
  <c r="E10" i="47"/>
  <c r="C10" i="47"/>
  <c r="B34" i="46"/>
  <c r="E10" i="46"/>
  <c r="F10" i="46" s="1"/>
  <c r="H6" i="41"/>
  <c r="D12" i="45"/>
  <c r="D10" i="45"/>
  <c r="E13" i="45"/>
  <c r="E11" i="45"/>
  <c r="E9" i="45"/>
  <c r="E12" i="45"/>
  <c r="E10" i="45"/>
  <c r="D13" i="45"/>
  <c r="D11" i="45"/>
  <c r="D9" i="45"/>
  <c r="L13" i="47" l="1"/>
  <c r="L14" i="47" s="1"/>
  <c r="B14" i="47"/>
  <c r="H12" i="47"/>
  <c r="H14" i="47" s="1"/>
  <c r="D13" i="47"/>
  <c r="D14" i="47" s="1"/>
  <c r="J14" i="47"/>
  <c r="F14" i="47"/>
  <c r="E13" i="47"/>
  <c r="E12" i="47"/>
  <c r="I13" i="47"/>
  <c r="I12" i="47"/>
  <c r="M13" i="47"/>
  <c r="M12" i="47"/>
  <c r="C13" i="47"/>
  <c r="C12" i="47"/>
  <c r="B16" i="47"/>
  <c r="G13" i="47"/>
  <c r="G12" i="47"/>
  <c r="K13" i="47"/>
  <c r="K12" i="47"/>
  <c r="E11" i="41"/>
  <c r="B12" i="41"/>
  <c r="E6" i="41"/>
  <c r="B6" i="41"/>
  <c r="F2" i="40"/>
  <c r="G2" i="40"/>
  <c r="H2" i="40" s="1"/>
  <c r="E3" i="40"/>
  <c r="E4" i="40" s="1"/>
  <c r="E5" i="40" s="1"/>
  <c r="E6" i="40" s="1"/>
  <c r="F6" i="40" s="1"/>
  <c r="A3" i="39"/>
  <c r="K14" i="47" l="1"/>
  <c r="G14" i="47"/>
  <c r="C14" i="47"/>
  <c r="M14" i="47"/>
  <c r="I14" i="47"/>
  <c r="E14" i="47"/>
  <c r="F4" i="40"/>
  <c r="F5" i="40"/>
  <c r="F3" i="40"/>
  <c r="G6" i="40"/>
  <c r="H6" i="40" s="1"/>
  <c r="G4" i="40"/>
  <c r="H4" i="40" s="1"/>
  <c r="G5" i="40"/>
  <c r="H5" i="40" s="1"/>
  <c r="G3" i="40"/>
  <c r="H3" i="40" s="1"/>
  <c r="A4" i="39"/>
  <c r="A2" i="39"/>
  <c r="F3" i="37"/>
  <c r="F4" i="37"/>
  <c r="F5" i="37"/>
  <c r="F6" i="37"/>
  <c r="F7" i="37"/>
  <c r="F8" i="37"/>
  <c r="F2" i="37"/>
  <c r="E3" i="35"/>
  <c r="E4" i="35"/>
  <c r="E5" i="35"/>
  <c r="E6" i="35"/>
  <c r="E7" i="35"/>
  <c r="E8" i="35"/>
  <c r="E2" i="35"/>
  <c r="B17" i="47" l="1"/>
  <c r="B18" i="47" s="1"/>
  <c r="C11" i="32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comments8.xml><?xml version="1.0" encoding="utf-8"?>
<comments xmlns="http://schemas.openxmlformats.org/spreadsheetml/2006/main">
  <authors>
    <author>Helena</author>
  </authors>
  <commentList>
    <comment ref="F2" authorId="0" shapeId="0">
      <text>
        <r>
          <rPr>
            <b/>
            <sz val="9"/>
            <color indexed="81"/>
            <rFont val="Segoe UI"/>
            <family val="2"/>
          </rPr>
          <t>Realizado uma Procv.</t>
        </r>
      </text>
    </comment>
  </commentList>
</comments>
</file>

<file path=xl/comments9.xml><?xml version="1.0" encoding="utf-8"?>
<comments xmlns="http://schemas.openxmlformats.org/spreadsheetml/2006/main">
  <authors>
    <author>Helena</author>
  </authors>
  <commentList>
    <comment ref="B27" authorId="0" shapeId="0">
      <text>
        <r>
          <rPr>
            <b/>
            <sz val="9"/>
            <color indexed="81"/>
            <rFont val="Segoe UI"/>
            <family val="2"/>
          </rPr>
          <t>O exercicio era saber quanto precisaria vender em Julho para chegar a 42.000, foi usado Atingir Meta, com o mês de julho em aberto.</t>
        </r>
      </text>
    </comment>
  </commentList>
</comments>
</file>

<file path=xl/sharedStrings.xml><?xml version="1.0" encoding="utf-8"?>
<sst xmlns="http://schemas.openxmlformats.org/spreadsheetml/2006/main" count="1581" uniqueCount="743">
  <si>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</si>
  <si>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</si>
  <si>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</si>
  <si>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</si>
  <si>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</si>
  <si>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</si>
  <si>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</si>
  <si>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</si>
  <si>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</si>
  <si>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</si>
  <si>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</si>
  <si>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</si>
  <si>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</si>
  <si>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</si>
  <si>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</si>
  <si>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</si>
  <si>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</si>
  <si>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</si>
  <si>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</si>
  <si>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</si>
  <si>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</si>
  <si>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</si>
  <si>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</si>
  <si>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</si>
  <si>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</si>
  <si>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</si>
  <si>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</si>
  <si>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</si>
  <si>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</si>
  <si>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</si>
  <si>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</si>
  <si>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</si>
  <si>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</si>
  <si>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</si>
  <si>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</si>
  <si>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</si>
  <si>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</si>
  <si>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</si>
  <si>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</si>
  <si>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</si>
  <si>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</si>
  <si>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</si>
  <si>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</si>
  <si>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</si>
  <si>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</si>
  <si>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</si>
  <si>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</si>
  <si>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</si>
  <si>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</si>
  <si>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</si>
  <si>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</si>
  <si>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</si>
  <si>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</si>
  <si>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</si>
  <si>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</si>
  <si>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</si>
  <si>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</si>
  <si>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</si>
  <si>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</si>
  <si>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</si>
  <si>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</si>
  <si>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</si>
  <si>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</si>
  <si>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</si>
  <si>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</si>
  <si>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</si>
  <si>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</si>
  <si>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</si>
  <si>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</si>
  <si>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</si>
  <si>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</si>
  <si>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</si>
  <si>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</si>
  <si>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</si>
  <si>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</si>
  <si>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</si>
  <si>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</si>
  <si>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</si>
  <si>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</si>
  <si>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</si>
  <si>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</si>
  <si>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</si>
  <si>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</si>
  <si>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</si>
  <si>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</si>
  <si>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</si>
  <si>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</si>
  <si>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</si>
  <si>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</si>
  <si>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</si>
  <si>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</si>
  <si>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</si>
  <si>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</si>
  <si>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</si>
  <si>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</si>
  <si>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</si>
  <si>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</si>
  <si>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</si>
  <si>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</si>
  <si>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</si>
  <si>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</si>
  <si>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</si>
  <si>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</si>
  <si>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</si>
  <si>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</si>
  <si>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</si>
  <si>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</si>
  <si>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</si>
  <si>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</si>
  <si>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</si>
  <si>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</si>
  <si>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</si>
  <si>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</si>
  <si>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</si>
  <si>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</si>
  <si>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</si>
  <si>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</si>
  <si>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</si>
  <si>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</si>
  <si>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</si>
  <si>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</si>
  <si>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</si>
  <si>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</si>
  <si>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</si>
  <si>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</si>
  <si>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</si>
  <si>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</si>
  <si>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</si>
  <si>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</si>
  <si>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</si>
  <si>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</si>
  <si>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</si>
  <si>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</si>
  <si>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</si>
  <si>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</si>
  <si>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</si>
  <si>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</si>
  <si>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</si>
  <si>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</si>
  <si>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</si>
  <si>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</si>
  <si>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</si>
  <si>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</si>
  <si>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</si>
  <si>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</si>
  <si>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</si>
  <si>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</si>
  <si>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</si>
  <si>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</si>
  <si>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</si>
  <si>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</si>
  <si>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</si>
  <si>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</si>
  <si>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</si>
  <si>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</si>
  <si>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</si>
  <si>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</si>
  <si>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</si>
  <si>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</si>
  <si>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</si>
  <si>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</si>
  <si>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</si>
  <si>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</si>
  <si>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</si>
  <si>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</si>
  <si>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</si>
  <si>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</si>
  <si>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</si>
  <si>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</si>
  <si>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</si>
  <si>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</si>
  <si>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</si>
  <si>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</si>
  <si>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</si>
  <si>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</si>
  <si>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</si>
  <si>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</si>
  <si>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</si>
  <si>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</si>
  <si>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</si>
  <si>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</si>
  <si>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</si>
  <si>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</si>
  <si>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</si>
  <si>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</si>
  <si>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</si>
  <si>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</si>
  <si>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</si>
  <si>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</si>
  <si>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</si>
  <si>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</si>
  <si>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</si>
  <si>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</si>
  <si>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</si>
  <si>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</si>
  <si>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</si>
  <si>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</si>
  <si>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</si>
  <si>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</si>
  <si>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</si>
  <si>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</si>
  <si>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</si>
  <si>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</si>
  <si>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</si>
  <si>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</si>
  <si>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</si>
  <si>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</si>
  <si>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</si>
  <si>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</si>
  <si>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</si>
  <si>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</si>
  <si>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</si>
  <si>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</si>
  <si>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</si>
  <si>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</si>
  <si>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</si>
  <si>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</si>
  <si>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</si>
  <si>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</si>
  <si>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</si>
  <si>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</si>
  <si>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</si>
  <si>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</si>
  <si>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</si>
  <si>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</si>
  <si>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</si>
  <si>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</si>
  <si>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</si>
  <si>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</si>
  <si>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</si>
  <si>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</si>
  <si>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</si>
  <si>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</si>
  <si>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</si>
  <si>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</si>
  <si>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</si>
  <si>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</si>
  <si>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</si>
  <si>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</si>
  <si>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</si>
  <si>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</si>
  <si>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</si>
  <si>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</si>
  <si>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</si>
  <si>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</si>
  <si>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</si>
  <si>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</si>
  <si>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</si>
  <si>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</si>
  <si>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</si>
  <si>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</si>
  <si>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</si>
  <si>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</si>
  <si>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</si>
  <si>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</si>
  <si>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</si>
  <si>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</si>
  <si>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</si>
  <si>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</si>
  <si>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</si>
  <si>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</si>
  <si>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</si>
  <si>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</si>
  <si>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</si>
  <si>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</si>
  <si>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</si>
  <si>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</si>
  <si>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</si>
  <si>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</si>
  <si>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</si>
  <si>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</si>
  <si>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</si>
  <si>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</si>
  <si>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</si>
  <si>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</si>
  <si>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</si>
  <si>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</si>
  <si>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</si>
  <si>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</si>
  <si>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</si>
  <si>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</si>
  <si>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</si>
  <si>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</si>
  <si>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</si>
  <si>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</si>
  <si>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</si>
  <si>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</si>
  <si>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</si>
  <si>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</si>
  <si>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</si>
  <si>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</si>
  <si>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</si>
  <si>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</si>
  <si>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</si>
  <si>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</si>
  <si>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</si>
  <si>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</si>
  <si>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</si>
  <si>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</si>
  <si>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</si>
  <si>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</si>
  <si>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</si>
  <si>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</si>
  <si>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</si>
  <si>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</si>
  <si>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</si>
  <si>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</si>
  <si>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</si>
  <si>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</si>
  <si>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</si>
  <si>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</si>
  <si>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</si>
  <si>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</si>
  <si>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</si>
  <si>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</si>
  <si>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</si>
  <si>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</si>
  <si>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</si>
  <si>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</si>
  <si>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</si>
  <si>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</si>
  <si>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</si>
  <si>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</si>
  <si>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</si>
  <si>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</si>
  <si>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</si>
  <si>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</si>
  <si>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</si>
  <si>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</si>
  <si>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</si>
  <si>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</si>
  <si>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</si>
  <si>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</si>
  <si>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</si>
  <si>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</si>
  <si>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</si>
  <si>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</si>
  <si>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</si>
  <si>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</si>
  <si>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</si>
  <si>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</si>
  <si>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</si>
  <si>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</si>
  <si>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</si>
  <si>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</si>
  <si>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</si>
  <si>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</si>
  <si>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</si>
  <si>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</si>
  <si>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</si>
  <si>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</si>
  <si>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</si>
  <si>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</si>
  <si>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</si>
  <si>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</si>
  <si>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</si>
  <si>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</si>
  <si>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</si>
  <si>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</si>
  <si>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</si>
  <si>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</si>
  <si>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</si>
  <si>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</si>
  <si>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</si>
  <si>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</si>
  <si>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</si>
  <si>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</si>
  <si>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</si>
  <si>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</si>
  <si>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</si>
  <si>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</si>
  <si>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</si>
  <si>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</si>
  <si>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</si>
  <si>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</si>
  <si>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</si>
  <si>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</si>
  <si>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</si>
  <si>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</si>
  <si>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</si>
  <si>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</si>
  <si>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</si>
  <si>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</si>
  <si>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</si>
  <si>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</si>
  <si>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</si>
  <si>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</si>
  <si>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</si>
  <si>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</si>
  <si>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</si>
  <si>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</si>
  <si>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</si>
  <si>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</si>
  <si>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</si>
  <si>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</si>
  <si>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</si>
  <si>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</si>
  <si>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</si>
  <si>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</si>
  <si>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</si>
  <si>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</si>
  <si>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</si>
  <si>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</si>
  <si>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</si>
  <si>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</si>
  <si>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</si>
  <si>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</si>
  <si>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</si>
  <si>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</si>
  <si>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</si>
  <si>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</si>
  <si>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</si>
  <si>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</si>
  <si>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</si>
  <si>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</si>
  <si>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</si>
  <si>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</si>
  <si>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</si>
  <si>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</si>
  <si>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</si>
  <si>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</si>
  <si>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</si>
  <si>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</si>
  <si>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</si>
  <si>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</si>
  <si>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</si>
  <si>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</si>
  <si>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</si>
  <si>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</si>
  <si>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</si>
  <si>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</si>
  <si>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</si>
  <si>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</si>
  <si>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</si>
  <si>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</si>
  <si>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</si>
  <si>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</si>
  <si>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</si>
  <si>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</si>
  <si>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</si>
  <si>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</si>
  <si>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</si>
  <si>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</si>
  <si>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</si>
  <si>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</si>
  <si>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</si>
  <si>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</si>
  <si>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</si>
  <si>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</si>
  <si>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</si>
  <si>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</si>
  <si>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</si>
  <si>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</si>
  <si>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</si>
  <si>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</si>
  <si>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</si>
  <si>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</si>
  <si>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</si>
  <si>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</si>
  <si>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</si>
  <si>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</si>
  <si>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</si>
  <si>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</si>
  <si>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</si>
  <si>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</si>
  <si>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</si>
  <si>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</si>
  <si>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</si>
  <si>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</si>
  <si>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</si>
  <si>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</si>
  <si>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</si>
  <si>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</si>
  <si>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</si>
  <si>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</si>
  <si>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</si>
  <si>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</si>
  <si>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</si>
  <si>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</si>
  <si>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</si>
  <si>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</si>
  <si>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</si>
  <si>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</si>
  <si>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</si>
  <si>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</si>
  <si>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</si>
  <si>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</si>
  <si>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</si>
  <si>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</si>
  <si>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</si>
  <si>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</si>
  <si>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</si>
  <si>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</si>
  <si>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</si>
  <si>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</si>
  <si>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</si>
  <si>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</si>
  <si>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</si>
  <si>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</si>
  <si>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</si>
  <si>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</si>
  <si>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</si>
  <si>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</si>
  <si>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</si>
  <si>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</si>
  <si>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</si>
  <si>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</si>
  <si>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</si>
  <si>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</si>
  <si>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</si>
  <si>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saidas</t>
  </si>
  <si>
    <t>Entradas</t>
  </si>
  <si>
    <t>multa</t>
  </si>
  <si>
    <t>vrna</t>
  </si>
  <si>
    <t>VENDEDOR</t>
  </si>
  <si>
    <t>ESTADO</t>
  </si>
  <si>
    <t>JAN</t>
  </si>
  <si>
    <t>FEV</t>
  </si>
  <si>
    <t>Carlos Soares</t>
  </si>
  <si>
    <t>André Silva</t>
  </si>
  <si>
    <t>Marcelo Costa</t>
  </si>
  <si>
    <t>Adriana Fernandes</t>
  </si>
  <si>
    <t>Hélio Cavalcante</t>
  </si>
  <si>
    <t>Telma Sousa</t>
  </si>
  <si>
    <t>Cinira Paula</t>
  </si>
  <si>
    <t>BA</t>
  </si>
  <si>
    <t>CE</t>
  </si>
  <si>
    <t>TO</t>
  </si>
  <si>
    <t>MG</t>
  </si>
  <si>
    <t>Soma de TOTAL</t>
  </si>
  <si>
    <t>Tabela de Salários</t>
  </si>
  <si>
    <t>Valor Salário</t>
  </si>
  <si>
    <t>Tabela</t>
  </si>
  <si>
    <t>0-1000</t>
  </si>
  <si>
    <t>1000-2000</t>
  </si>
  <si>
    <t>2000-3000</t>
  </si>
  <si>
    <t>3000-4000</t>
  </si>
  <si>
    <t>4000-5000</t>
  </si>
  <si>
    <t>5000-6000</t>
  </si>
  <si>
    <t>Carlos Santos</t>
  </si>
  <si>
    <t>Maria Alencar</t>
  </si>
  <si>
    <t>Marta Xavier</t>
  </si>
  <si>
    <t>Suzana Martins</t>
  </si>
  <si>
    <t>Paulo Antunes</t>
  </si>
  <si>
    <t>Sonia Carla</t>
  </si>
  <si>
    <t>Pedro Luis</t>
  </si>
  <si>
    <t>10000 +</t>
  </si>
  <si>
    <t>Soma de Valor Salário</t>
  </si>
  <si>
    <t>Contagem de Valor Salário</t>
  </si>
  <si>
    <t>Sistema Operacional</t>
  </si>
  <si>
    <t>Versão</t>
  </si>
  <si>
    <t>Valor da Licença</t>
  </si>
  <si>
    <t>Windows 11</t>
  </si>
  <si>
    <t>Windows 10</t>
  </si>
  <si>
    <t>Windows 7</t>
  </si>
  <si>
    <t>Windows Server 2012 R2</t>
  </si>
  <si>
    <t>2012-2014</t>
  </si>
  <si>
    <t>Soma de Valor da Licença</t>
  </si>
  <si>
    <t>Total do 1º Bimestre</t>
  </si>
  <si>
    <t>As informações estão vindo de outra tabela, assim foram compartilhadas.</t>
  </si>
  <si>
    <t>Numeração</t>
  </si>
  <si>
    <t>Nomes</t>
  </si>
  <si>
    <t>Natan</t>
  </si>
  <si>
    <t>Felipe</t>
  </si>
  <si>
    <t>Rosana</t>
  </si>
  <si>
    <t>Rute</t>
  </si>
  <si>
    <t>Cleide</t>
  </si>
  <si>
    <t>Manoel</t>
  </si>
  <si>
    <t>Adalberto</t>
  </si>
  <si>
    <t>Samara</t>
  </si>
  <si>
    <t>Ricardo</t>
  </si>
  <si>
    <t>Alex</t>
  </si>
  <si>
    <t>Fernando</t>
  </si>
  <si>
    <t/>
  </si>
  <si>
    <t>Vendas %</t>
  </si>
  <si>
    <t>Sérgio</t>
  </si>
  <si>
    <t>FUNÇÕES FINANCEIRAS</t>
  </si>
  <si>
    <t>Valor Futuro</t>
  </si>
  <si>
    <t>Valor Presente</t>
  </si>
  <si>
    <t>Taxa de Juros</t>
  </si>
  <si>
    <t>Valor Futuro - VF</t>
  </si>
  <si>
    <t>Parcela</t>
  </si>
  <si>
    <t>Nº de Parcelas</t>
  </si>
  <si>
    <t>Valor Presente VP</t>
  </si>
  <si>
    <t>Taxa de Lucro - TAXA</t>
  </si>
  <si>
    <t>Valor Empréstimo</t>
  </si>
  <si>
    <t>Valor Prestação</t>
  </si>
  <si>
    <t>Taxa de Juros Mensal</t>
  </si>
  <si>
    <t>Cálculo de Prestação - PGTO</t>
  </si>
  <si>
    <t>Função VP = calcula o valor presente de um empréstimo ou investimentos com juros constantes</t>
  </si>
  <si>
    <t>Função VF = calcula o valor futuro de um investimento com base em uma taxa de juros constante</t>
  </si>
  <si>
    <t>Função NPER = retorna o número de periodos de emprestimos ou investimentos</t>
  </si>
  <si>
    <t>Cálculo Período NPER</t>
  </si>
  <si>
    <t>Função Taxa = retorna a taxa de juros por periodo e uma anuidade.</t>
  </si>
  <si>
    <t>Função PGTO = cálcula o pagamento de um emprestimos de acordo com pagamentos constantes e com uma taxa de juros constantes</t>
  </si>
  <si>
    <t>Função ABS = transforma valores negativos em positivos.</t>
  </si>
  <si>
    <t>Juros Simples</t>
  </si>
  <si>
    <t>Juros Composto</t>
  </si>
  <si>
    <t>Saldo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</si>
  <si>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</si>
  <si>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</si>
  <si>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</si>
  <si>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</si>
  <si>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</si>
  <si>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</si>
  <si>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</si>
  <si>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</si>
  <si>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</si>
  <si>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</si>
  <si>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Aplicação</t>
  </si>
  <si>
    <t>Juros Simples - sempre irá incidir sobre o valor original. Crescimento Linear.</t>
  </si>
  <si>
    <t>Juros Compostos - reaplicar os juros (juros acumulados). Crescimento exponecial ou juros sobre juros.</t>
  </si>
  <si>
    <t>Valores</t>
  </si>
  <si>
    <t>Previsão(Valores)</t>
  </si>
  <si>
    <t>Limite de Confiança Inferior(Valores)</t>
  </si>
  <si>
    <t>Limite de Confiança Superior(Valores)</t>
  </si>
  <si>
    <t>Estatística</t>
  </si>
  <si>
    <t>Alpha</t>
  </si>
  <si>
    <t>Beta</t>
  </si>
  <si>
    <t>Gamma</t>
  </si>
  <si>
    <t>MASE</t>
  </si>
  <si>
    <t>SMAPE</t>
  </si>
  <si>
    <t>MAE</t>
  </si>
  <si>
    <t>RMSE</t>
  </si>
  <si>
    <t>Preço Final</t>
  </si>
  <si>
    <t>Vestido</t>
  </si>
  <si>
    <t>Sapato</t>
  </si>
  <si>
    <t>Moleton</t>
  </si>
  <si>
    <t>Luva</t>
  </si>
  <si>
    <t>Jaqueta</t>
  </si>
  <si>
    <t>Condição</t>
  </si>
  <si>
    <t>Valor Inicial</t>
  </si>
  <si>
    <t>Desconto</t>
  </si>
  <si>
    <t>Camiseta</t>
  </si>
  <si>
    <t>Acessórios</t>
  </si>
  <si>
    <t>Qtde Vendida</t>
  </si>
  <si>
    <t>jan</t>
  </si>
  <si>
    <t>fev</t>
  </si>
  <si>
    <t>mar</t>
  </si>
  <si>
    <t>abr</t>
  </si>
  <si>
    <t>mai</t>
  </si>
  <si>
    <t>jun</t>
  </si>
  <si>
    <t>jul</t>
  </si>
  <si>
    <t>Meta</t>
  </si>
  <si>
    <t>Vale Transporte</t>
  </si>
  <si>
    <t>Vale Refeição</t>
  </si>
  <si>
    <t>Salário Líquido</t>
  </si>
  <si>
    <t>GERENCIADOR DE CENÁRIOS</t>
  </si>
  <si>
    <t>Valor de Custo</t>
  </si>
  <si>
    <t>Frete</t>
  </si>
  <si>
    <t>Periodo</t>
  </si>
  <si>
    <t>Meses</t>
  </si>
  <si>
    <t>Quantidade</t>
  </si>
  <si>
    <t>Valor Bruto</t>
  </si>
  <si>
    <t>Custo</t>
  </si>
  <si>
    <t>Impostos</t>
  </si>
  <si>
    <t>Lucro</t>
  </si>
  <si>
    <t>Lucro Total</t>
  </si>
  <si>
    <t>Lucro com Percentual</t>
  </si>
  <si>
    <t>Planilha 1</t>
  </si>
  <si>
    <t>Planilha2</t>
  </si>
  <si>
    <t>Planilha 3</t>
  </si>
  <si>
    <t>Planilha 2</t>
  </si>
  <si>
    <t>Ana</t>
  </si>
  <si>
    <t>Para funcionar corretamente a função transpor, antes de fechar o parenteses, ctrl + shift + enter</t>
  </si>
  <si>
    <t>foi ocultado a informação do multiplicador.</t>
  </si>
  <si>
    <t>Foi relizado o processo em outra tabela.</t>
  </si>
  <si>
    <t>GRÁFICO COM INDICADORES</t>
  </si>
  <si>
    <t>Comparativo</t>
  </si>
  <si>
    <t>Concatenação</t>
  </si>
  <si>
    <t>Símbolos</t>
  </si>
  <si>
    <t>▼</t>
  </si>
  <si>
    <t>▲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</si>
  <si>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</si>
  <si>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</si>
  <si>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</si>
  <si>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</si>
  <si>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</si>
  <si>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</si>
  <si>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</si>
  <si>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</si>
  <si>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</si>
  <si>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alberto</t>
  </si>
  <si>
    <t>pedro</t>
  </si>
  <si>
    <t>joao</t>
  </si>
  <si>
    <t>luis</t>
  </si>
  <si>
    <t>fabio</t>
  </si>
  <si>
    <t>romildo</t>
  </si>
  <si>
    <t>cesar</t>
  </si>
  <si>
    <t>paulo</t>
  </si>
  <si>
    <t>bendito</t>
  </si>
  <si>
    <t>luciano</t>
  </si>
  <si>
    <t>bento</t>
  </si>
  <si>
    <t>SORTEIO DA MEGASENA</t>
  </si>
  <si>
    <t>produto</t>
  </si>
  <si>
    <t>Total Trimestre</t>
  </si>
  <si>
    <t>Média</t>
  </si>
  <si>
    <t>total</t>
  </si>
  <si>
    <t>Primeiro Trimestre</t>
  </si>
  <si>
    <t>Meta Atingida</t>
  </si>
  <si>
    <t>Jona</t>
  </si>
  <si>
    <t>marcelo</t>
  </si>
  <si>
    <t>Fabiano</t>
  </si>
  <si>
    <t>celular</t>
  </si>
  <si>
    <t>smart tv</t>
  </si>
  <si>
    <t>notebook</t>
  </si>
  <si>
    <t>desktop</t>
  </si>
  <si>
    <t>FUNÇÕES DE FILTRO COM MACRO</t>
  </si>
  <si>
    <t>Valor por Produto</t>
  </si>
  <si>
    <t>Prestador</t>
  </si>
  <si>
    <t>Forma de Pagamento</t>
  </si>
  <si>
    <t>Ztec Informática</t>
  </si>
  <si>
    <t>WZ Informática</t>
  </si>
  <si>
    <t>LTDA Sofwtare</t>
  </si>
  <si>
    <t>InfoPlay Produtos</t>
  </si>
  <si>
    <t>Crédito</t>
  </si>
  <si>
    <t>Débito</t>
  </si>
  <si>
    <t>Soma de Valor</t>
  </si>
  <si>
    <t>DashBoard</t>
  </si>
  <si>
    <t>Contagem de Valor</t>
  </si>
  <si>
    <t>Qtde de Movimentação</t>
  </si>
  <si>
    <t>NOVA FUNÇÃO SES</t>
  </si>
  <si>
    <t>Cores</t>
  </si>
  <si>
    <t>Função Se Composta</t>
  </si>
  <si>
    <t>Função SES</t>
  </si>
  <si>
    <t>Lista</t>
  </si>
  <si>
    <t>Violeta</t>
  </si>
  <si>
    <t>Azul</t>
  </si>
  <si>
    <t>Vede</t>
  </si>
  <si>
    <t>Amarelo</t>
  </si>
  <si>
    <t>Laranja</t>
  </si>
  <si>
    <t>Vermelho</t>
  </si>
  <si>
    <t>FUNÇÃO PARAMETRO</t>
  </si>
  <si>
    <t>CLASSES</t>
  </si>
  <si>
    <t>FUNÇÃO CONCAT</t>
  </si>
  <si>
    <t>FUNÇÃO UNIR TEXTO</t>
  </si>
  <si>
    <t>ROBERTO</t>
  </si>
  <si>
    <t>XAVIER</t>
  </si>
  <si>
    <t>SOARES</t>
  </si>
  <si>
    <t xml:space="preserve">JONAS </t>
  </si>
  <si>
    <t xml:space="preserve">DE </t>
  </si>
  <si>
    <t>MEDEIROS</t>
  </si>
  <si>
    <t>Nesta função, o VERDADEIRO, ignora células vazias.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</si>
</sst>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5" formatCode="0.0%"/>
    <numFmt numFmtId="166" formatCode=";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45">
        <stop position="0">
          <color theme="5" tint="-0.25098422193060094"/>
        </stop>
        <stop position="0.5">
          <color theme="7" tint="0.80001220740379042"/>
        </stop>
        <stop position="1">
          <color theme="5" tint="-0.25098422193060094"/>
        </stop>
      </gradient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0.5">
          <color theme="1"/>
        </stop>
        <stop position="1">
          <color theme="0"/>
        </stop>
      </gradientFill>
    </fill>
    <fill>
      <gradientFill degree="225">
        <stop position="0">
          <color theme="5" tint="-0.25098422193060094"/>
        </stop>
        <stop position="1">
          <color theme="1"/>
        </stop>
      </gradientFill>
    </fill>
    <fill>
      <gradientFill type="path">
        <stop position="0">
          <color theme="9" tint="0.40000610370189521"/>
        </stop>
        <stop position="1">
          <color theme="1" tint="0.1490218817712943"/>
        </stop>
      </gradient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8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44" fontId="0" fillId="0" borderId="0" xfId="0" applyNumberFormat="1"/>
    <xf numFmtId="0" fontId="3" fillId="19" borderId="1" xfId="0" applyFont="1" applyFill="1" applyBorder="1" applyAlignment="1">
      <alignment horizontal="center" vertical="center"/>
    </xf>
    <xf numFmtId="44" fontId="3" fillId="19" borderId="1" xfId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44" fontId="3" fillId="19" borderId="5" xfId="0" applyNumberFormat="1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4" fontId="3" fillId="19" borderId="3" xfId="1" applyFont="1" applyFill="1" applyBorder="1" applyAlignment="1">
      <alignment horizontal="center" vertical="center"/>
    </xf>
    <xf numFmtId="44" fontId="3" fillId="19" borderId="1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5" borderId="1" xfId="0" applyFont="1" applyFill="1" applyBorder="1" applyAlignment="1">
      <alignment horizontal="center" vertical="center"/>
    </xf>
    <xf numFmtId="0" fontId="3" fillId="19" borderId="1" xfId="0" applyFont="1" applyFill="1" applyBorder="1"/>
    <xf numFmtId="44" fontId="3" fillId="19" borderId="1" xfId="1" applyFont="1" applyFill="1" applyBorder="1"/>
    <xf numFmtId="0" fontId="3" fillId="0" borderId="0" xfId="0" applyNumberFormat="1" applyFont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5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4" fontId="3" fillId="0" borderId="1" xfId="1" applyFont="1" applyBorder="1" applyAlignment="1">
      <alignment vertical="center"/>
    </xf>
    <xf numFmtId="0" fontId="0" fillId="0" borderId="0" xfId="0" quotePrefix="1"/>
    <xf numFmtId="0" fontId="3" fillId="0" borderId="14" xfId="0" applyFont="1" applyFill="1" applyBorder="1" applyAlignment="1">
      <alignment horizontal="center"/>
    </xf>
    <xf numFmtId="0" fontId="3" fillId="0" borderId="14" xfId="0" applyFont="1" applyFill="1" applyBorder="1"/>
    <xf numFmtId="44" fontId="3" fillId="0" borderId="14" xfId="1" applyFont="1" applyFill="1" applyBorder="1"/>
    <xf numFmtId="44" fontId="3" fillId="24" borderId="1" xfId="1" applyFont="1" applyFill="1" applyBorder="1" applyAlignment="1">
      <alignment horizontal="center" vertical="center"/>
    </xf>
    <xf numFmtId="0" fontId="3" fillId="24" borderId="1" xfId="1" applyNumberFormat="1" applyFont="1" applyFill="1" applyBorder="1" applyAlignment="1">
      <alignment horizontal="center" vertical="center"/>
    </xf>
    <xf numFmtId="9" fontId="3" fillId="24" borderId="1" xfId="0" applyNumberFormat="1" applyFont="1" applyFill="1" applyBorder="1" applyAlignment="1">
      <alignment horizontal="center" vertical="center"/>
    </xf>
    <xf numFmtId="0" fontId="17" fillId="38" borderId="1" xfId="0" applyFont="1" applyFill="1" applyBorder="1" applyAlignment="1">
      <alignment horizontal="center" vertical="center"/>
    </xf>
    <xf numFmtId="8" fontId="3" fillId="24" borderId="1" xfId="0" applyNumberFormat="1" applyFont="1" applyFill="1" applyBorder="1" applyAlignment="1">
      <alignment horizontal="center" vertical="center"/>
    </xf>
    <xf numFmtId="1" fontId="3" fillId="24" borderId="1" xfId="1" applyNumberFormat="1" applyFont="1" applyFill="1" applyBorder="1" applyAlignment="1">
      <alignment horizontal="center" vertical="center"/>
    </xf>
    <xf numFmtId="165" fontId="3" fillId="2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9" fontId="0" fillId="0" borderId="0" xfId="0" applyNumberFormat="1"/>
    <xf numFmtId="0" fontId="3" fillId="35" borderId="1" xfId="0" applyFont="1" applyFill="1" applyBorder="1" applyAlignment="1">
      <alignment horizontal="center" vertical="center"/>
    </xf>
    <xf numFmtId="17" fontId="3" fillId="3" borderId="1" xfId="0" applyNumberFormat="1" applyFont="1" applyFill="1" applyBorder="1" applyAlignment="1">
      <alignment horizontal="center" vertical="center"/>
    </xf>
    <xf numFmtId="17" fontId="0" fillId="0" borderId="0" xfId="0" applyNumberFormat="1"/>
    <xf numFmtId="44" fontId="0" fillId="0" borderId="0" xfId="0" applyNumberFormat="1"/>
    <xf numFmtId="4" fontId="0" fillId="0" borderId="0" xfId="0" applyNumberFormat="1"/>
    <xf numFmtId="0" fontId="2" fillId="15" borderId="1" xfId="0" applyFont="1" applyFill="1" applyBorder="1" applyAlignment="1">
      <alignment horizontal="center" vertical="center"/>
    </xf>
    <xf numFmtId="44" fontId="3" fillId="34" borderId="1" xfId="1" applyFont="1" applyFill="1" applyBorder="1" applyAlignment="1">
      <alignment horizontal="center" vertical="center"/>
    </xf>
    <xf numFmtId="9" fontId="3" fillId="34" borderId="1" xfId="0" applyNumberFormat="1" applyFont="1" applyFill="1" applyBorder="1" applyAlignment="1">
      <alignment horizontal="center" vertical="center"/>
    </xf>
    <xf numFmtId="44" fontId="2" fillId="15" borderId="1" xfId="0" applyNumberFormat="1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44" fontId="3" fillId="13" borderId="1" xfId="1" applyFont="1" applyFill="1" applyBorder="1" applyAlignment="1">
      <alignment horizontal="center" vertical="center"/>
    </xf>
    <xf numFmtId="9" fontId="3" fillId="13" borderId="1" xfId="0" applyNumberFormat="1" applyFont="1" applyFill="1" applyBorder="1" applyAlignment="1">
      <alignment horizontal="center" vertical="center"/>
    </xf>
    <xf numFmtId="44" fontId="3" fillId="13" borderId="1" xfId="0" applyNumberFormat="1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44" fontId="3" fillId="41" borderId="1" xfId="0" applyNumberFormat="1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9" fontId="3" fillId="5" borderId="1" xfId="0" applyNumberFormat="1" applyFont="1" applyFill="1" applyBorder="1" applyAlignment="1">
      <alignment horizontal="center" vertical="center"/>
    </xf>
    <xf numFmtId="0" fontId="3" fillId="22" borderId="1" xfId="1" applyNumberFormat="1" applyFont="1" applyFill="1" applyBorder="1" applyAlignment="1">
      <alignment horizontal="center" vertical="center"/>
    </xf>
    <xf numFmtId="44" fontId="3" fillId="22" borderId="1" xfId="1" applyFont="1" applyFill="1" applyBorder="1" applyAlignment="1">
      <alignment horizontal="center" vertical="center"/>
    </xf>
    <xf numFmtId="9" fontId="3" fillId="22" borderId="1" xfId="0" applyNumberFormat="1" applyFont="1" applyFill="1" applyBorder="1" applyAlignment="1">
      <alignment horizontal="center" vertical="center"/>
    </xf>
    <xf numFmtId="0" fontId="2" fillId="20" borderId="1" xfId="0" applyFont="1" applyFill="1" applyBorder="1"/>
    <xf numFmtId="9" fontId="3" fillId="0" borderId="1" xfId="2" applyFont="1" applyBorder="1" applyAlignment="1">
      <alignment horizontal="center"/>
    </xf>
    <xf numFmtId="0" fontId="0" fillId="43" borderId="0" xfId="0" applyFill="1"/>
    <xf numFmtId="0" fontId="2" fillId="43" borderId="0" xfId="0" applyFont="1" applyFill="1" applyAlignment="1">
      <alignment horizontal="center" vertical="center"/>
    </xf>
    <xf numFmtId="0" fontId="0" fillId="42" borderId="0" xfId="0" applyFill="1"/>
    <xf numFmtId="0" fontId="3" fillId="0" borderId="1" xfId="0" applyFont="1" applyBorder="1" applyAlignment="1">
      <alignment horizontal="center" vertical="center"/>
    </xf>
    <xf numFmtId="0" fontId="19" fillId="43" borderId="0" xfId="3" applyFill="1" applyAlignment="1">
      <alignment horizontal="center" vertical="center"/>
    </xf>
    <xf numFmtId="0" fontId="20" fillId="13" borderId="0" xfId="3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16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3" fillId="0" borderId="1" xfId="1" applyFont="1" applyBorder="1" applyAlignment="1">
      <alignment horizontal="center"/>
    </xf>
    <xf numFmtId="9" fontId="3" fillId="19" borderId="1" xfId="2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3" fillId="37" borderId="1" xfId="1" applyFont="1" applyFill="1" applyBorder="1" applyAlignment="1">
      <alignment horizontal="center" vertical="center"/>
    </xf>
    <xf numFmtId="44" fontId="3" fillId="0" borderId="1" xfId="1" applyFont="1" applyFill="1" applyBorder="1"/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5" borderId="1" xfId="0" applyFont="1" applyFill="1" applyBorder="1"/>
    <xf numFmtId="44" fontId="3" fillId="5" borderId="1" xfId="1" applyFont="1" applyFill="1" applyBorder="1"/>
    <xf numFmtId="44" fontId="3" fillId="5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44" fontId="3" fillId="10" borderId="0" xfId="1" applyFont="1" applyFill="1"/>
    <xf numFmtId="0" fontId="3" fillId="5" borderId="7" xfId="0" applyFont="1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6" xfId="0" applyFill="1" applyBorder="1"/>
    <xf numFmtId="0" fontId="0" fillId="5" borderId="8" xfId="0" applyFill="1" applyBorder="1"/>
    <xf numFmtId="14" fontId="0" fillId="0" borderId="1" xfId="0" applyNumberForma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0" fillId="40" borderId="1" xfId="0" applyFill="1" applyBorder="1"/>
    <xf numFmtId="0" fontId="3" fillId="40" borderId="1" xfId="0" applyFont="1" applyFill="1" applyBorder="1" applyAlignment="1">
      <alignment horizontal="center" vertical="center"/>
    </xf>
    <xf numFmtId="0" fontId="2" fillId="47" borderId="1" xfId="0" applyFont="1" applyFill="1" applyBorder="1" applyAlignment="1" applyProtection="1">
      <alignment horizontal="center" vertical="center"/>
      <protection locked="0"/>
    </xf>
    <xf numFmtId="0" fontId="2" fillId="48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22" fontId="3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25" borderId="5" xfId="0" applyFont="1" applyFill="1" applyBorder="1" applyAlignment="1">
      <alignment horizontal="center" vertical="center"/>
    </xf>
    <xf numFmtId="0" fontId="2" fillId="25" borderId="7" xfId="0" applyFont="1" applyFill="1" applyBorder="1" applyAlignment="1">
      <alignment horizontal="center" vertical="center"/>
    </xf>
    <xf numFmtId="0" fontId="0" fillId="39" borderId="2" xfId="0" applyFill="1" applyBorder="1" applyAlignment="1">
      <alignment horizontal="center"/>
    </xf>
    <xf numFmtId="0" fontId="0" fillId="39" borderId="0" xfId="0" applyFill="1" applyAlignment="1">
      <alignment horizontal="center"/>
    </xf>
    <xf numFmtId="0" fontId="3" fillId="24" borderId="1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left" vertical="center" wrapText="1"/>
    </xf>
    <xf numFmtId="0" fontId="3" fillId="35" borderId="13" xfId="0" applyFont="1" applyFill="1" applyBorder="1" applyAlignment="1">
      <alignment horizontal="left" vertical="center" wrapText="1"/>
    </xf>
    <xf numFmtId="0" fontId="3" fillId="35" borderId="15" xfId="0" applyFont="1" applyFill="1" applyBorder="1" applyAlignment="1">
      <alignment horizontal="left" vertical="center" wrapText="1"/>
    </xf>
    <xf numFmtId="0" fontId="3" fillId="35" borderId="12" xfId="0" applyFont="1" applyFill="1" applyBorder="1" applyAlignment="1">
      <alignment horizontal="left" vertical="center" wrapText="1"/>
    </xf>
    <xf numFmtId="0" fontId="3" fillId="35" borderId="2" xfId="0" applyFont="1" applyFill="1" applyBorder="1" applyAlignment="1">
      <alignment horizontal="left" vertical="center" wrapText="1"/>
    </xf>
    <xf numFmtId="0" fontId="3" fillId="35" borderId="0" xfId="0" applyFont="1" applyFill="1" applyBorder="1" applyAlignment="1">
      <alignment horizontal="left" vertical="center" wrapText="1"/>
    </xf>
    <xf numFmtId="0" fontId="3" fillId="35" borderId="10" xfId="0" applyFont="1" applyFill="1" applyBorder="1" applyAlignment="1">
      <alignment horizontal="left" vertical="center" wrapText="1"/>
    </xf>
    <xf numFmtId="0" fontId="3" fillId="35" borderId="11" xfId="0" applyFont="1" applyFill="1" applyBorder="1" applyAlignment="1">
      <alignment horizontal="left" vertical="center" wrapText="1"/>
    </xf>
    <xf numFmtId="0" fontId="3" fillId="35" borderId="6" xfId="0" applyFont="1" applyFill="1" applyBorder="1" applyAlignment="1">
      <alignment horizontal="left" vertical="center" wrapText="1"/>
    </xf>
    <xf numFmtId="0" fontId="3" fillId="35" borderId="8" xfId="0" applyFont="1" applyFill="1" applyBorder="1" applyAlignment="1">
      <alignment horizontal="left" vertical="center" wrapText="1"/>
    </xf>
    <xf numFmtId="0" fontId="3" fillId="42" borderId="1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45" borderId="1" xfId="0" applyFont="1" applyFill="1" applyBorder="1" applyAlignment="1">
      <alignment horizontal="center"/>
    </xf>
    <xf numFmtId="0" fontId="2" fillId="44" borderId="1" xfId="0" applyFont="1" applyFill="1" applyBorder="1" applyAlignment="1">
      <alignment horizontal="center" vertical="center"/>
    </xf>
    <xf numFmtId="0" fontId="17" fillId="31" borderId="1" xfId="0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49" borderId="1" xfId="0" applyFont="1" applyFill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32">
    <dxf>
      <numFmt numFmtId="1" formatCode="0"/>
    </dxf>
    <dxf>
      <numFmt numFmtId="164" formatCode="0.0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9">
      <tableStyleElement type="headerRow" dxfId="131"/>
    </tableStyle>
  </tableStyles>
  <colors>
    <mruColors>
      <color rgb="FFFFFFFF"/>
      <color rgb="FFED7D3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pivotCacheDefinition" Target="pivotCache/pivotCacheDefinition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2.xml"/><Relationship Id="rId64" Type="http://schemas.microsoft.com/office/2007/relationships/slicerCache" Target="slicerCaches/slicerCache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pivotCacheDefinition" Target="pivotCache/pivotCacheDefinition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62" Type="http://schemas.microsoft.com/office/2011/relationships/timelineCache" Target="timelineCaches/timeline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7/relationships/slicerCache" Target="slicerCaches/slicerCache1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0474579058818684"/>
                  <c:y val="4.63592552603169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250</c:v>
                </c:pt>
                <c:pt idx="1">
                  <c:v>500</c:v>
                </c:pt>
                <c:pt idx="2">
                  <c:v>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Excel.xlsm]Gráfico Dinamico e Segmentação!Tabela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Relatório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Dinamico e Segmentação'!$B$10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Dinamico e Segmentação'!$A$11:$A$17</c:f>
              <c:strCache>
                <c:ptCount val="6"/>
                <c:pt idx="0">
                  <c:v>0-1000</c:v>
                </c:pt>
                <c:pt idx="1">
                  <c:v>10000 +</c:v>
                </c:pt>
                <c:pt idx="2">
                  <c:v>1000-2000</c:v>
                </c:pt>
                <c:pt idx="3">
                  <c:v>3000-4000</c:v>
                </c:pt>
                <c:pt idx="4">
                  <c:v>4000-5000</c:v>
                </c:pt>
                <c:pt idx="5">
                  <c:v>5000-6000</c:v>
                </c:pt>
              </c:strCache>
            </c:strRef>
          </c:cat>
          <c:val>
            <c:numRef>
              <c:f>'Gráfico Dinamico e Segmentação'!$B$11:$B$17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BFB-BCA7-2AA846793C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65509616"/>
        <c:axId val="765514608"/>
      </c:barChart>
      <c:catAx>
        <c:axId val="765509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514608"/>
        <c:crosses val="autoZero"/>
        <c:auto val="1"/>
        <c:lblAlgn val="ctr"/>
        <c:lblOffset val="100"/>
        <c:noMultiLvlLbl val="0"/>
      </c:catAx>
      <c:valAx>
        <c:axId val="76551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655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'Juros Simples'!$B$2</c:f>
              <c:strCache>
                <c:ptCount val="1"/>
                <c:pt idx="0">
                  <c:v>Juros Simples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Simples'!$B$3:$B$14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5600</c:v>
                </c:pt>
                <c:pt idx="3">
                  <c:v>5900</c:v>
                </c:pt>
                <c:pt idx="4">
                  <c:v>6200</c:v>
                </c:pt>
                <c:pt idx="5">
                  <c:v>6500</c:v>
                </c:pt>
                <c:pt idx="6">
                  <c:v>6800</c:v>
                </c:pt>
                <c:pt idx="7">
                  <c:v>7100</c:v>
                </c:pt>
                <c:pt idx="8">
                  <c:v>7400</c:v>
                </c:pt>
                <c:pt idx="9">
                  <c:v>7700</c:v>
                </c:pt>
                <c:pt idx="10">
                  <c:v>8000</c:v>
                </c:pt>
                <c:pt idx="11">
                  <c:v>8300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F-4E55-A372-AFA6D4C778A4}"/>
            </c:ext>
          </c:extLst>
        </c:ser>
        <c:ser>
          <c:idx val="1"/>
          <c:order val="1"/>
          <c:tx>
            <c:strRef>
              <c:f>'Juros Simples'!$C$2</c:f>
              <c:strCache>
                <c:ptCount val="1"/>
                <c:pt idx="0">
                  <c:v>Juros Composto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Simples'!$C$3:$C$14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5618</c:v>
                </c:pt>
                <c:pt idx="3">
                  <c:v>5955.08</c:v>
                </c:pt>
                <c:pt idx="4">
                  <c:v>6312.3847999999998</c:v>
                </c:pt>
                <c:pt idx="5">
                  <c:v>6691.127888</c:v>
                </c:pt>
                <c:pt idx="6">
                  <c:v>7092.5955612799999</c:v>
                </c:pt>
                <c:pt idx="7">
                  <c:v>7518.1512949567996</c:v>
                </c:pt>
                <c:pt idx="8">
                  <c:v>7969.2403726542079</c:v>
                </c:pt>
                <c:pt idx="9">
                  <c:v>8447.3947950134607</c:v>
                </c:pt>
                <c:pt idx="10">
                  <c:v>8954.2384827142687</c:v>
                </c:pt>
                <c:pt idx="11">
                  <c:v>9491.4927916771248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F-4E55-A372-AFA6D4C778A4}"/>
            </c:ext>
          </c:extLst>
        </c:ser>
        <c:ser>
          <c:idx val="2"/>
          <c:order val="2"/>
          <c:tx>
            <c:strRef>
              <c:f>'Juros Simples'!$D$2</c:f>
              <c:strCache>
                <c:ptCount val="1"/>
                <c:pt idx="0">
                  <c:v>Diferença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55.079999999999927</c:v>
                </c:pt>
                <c:pt idx="4">
                  <c:v>112.38479999999981</c:v>
                </c:pt>
                <c:pt idx="5">
                  <c:v>191.12788799999998</c:v>
                </c:pt>
                <c:pt idx="6">
                  <c:v>292.59556127999986</c:v>
                </c:pt>
                <c:pt idx="7">
                  <c:v>418.15129495679957</c:v>
                </c:pt>
                <c:pt idx="8">
                  <c:v>569.24037265420793</c:v>
                </c:pt>
                <c:pt idx="9">
                  <c:v>747.39479501346068</c:v>
                </c:pt>
                <c:pt idx="10">
                  <c:v>954.23848271426868</c:v>
                </c:pt>
                <c:pt idx="11">
                  <c:v>1191.4927916771248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5F-4E55-A372-AFA6D4C77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486592"/>
        <c:axId val="1629430752"/>
      </c:lineChart>
      <c:catAx>
        <c:axId val="11094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9430752"/>
        <c:crosses val="autoZero"/>
        <c:auto val="1"/>
        <c:lblAlgn val="ctr"/>
        <c:lblOffset val="100"/>
        <c:noMultiLvlLbl val="0"/>
      </c:catAx>
      <c:valAx>
        <c:axId val="16294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48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Planilha5!$B$1</c:f>
              <c:strCache>
                <c:ptCount val="1"/>
                <c:pt idx="0">
                  <c:v>Valores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Planilha5!$B$2:$B$13</c:f>
              <c:numCache>
                <c:formatCode>_("R$"* #,##0.00_);_("R$"* \(#,##0.00\);_("R$"* "-"??_);_(@_)</c:formatCode>
                <c:ptCount val="12"/>
                <c:pt idx="0">
                  <c:v>500</c:v>
                </c:pt>
                <c:pt idx="1">
                  <c:v>400</c:v>
                </c:pt>
                <c:pt idx="2">
                  <c:v>350</c:v>
                </c:pt>
                <c:pt idx="3">
                  <c:v>800</c:v>
                </c:pt>
                <c:pt idx="4">
                  <c:v>600</c:v>
                </c:pt>
                <c:pt idx="5">
                  <c:v>150</c:v>
                </c:pt>
                <c:pt idx="6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F-48D4-9866-26BD6B832064}"/>
            </c:ext>
          </c:extLst>
        </c:ser>
        <c:ser>
          <c:idx val="1"/>
          <c:order val="1"/>
          <c:tx>
            <c:strRef>
              <c:f>Planilha5!$C$1</c:f>
              <c:strCache>
                <c:ptCount val="1"/>
                <c:pt idx="0">
                  <c:v>Previsão(Valores)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Planilha5!$C$2:$C$13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326.0461741679793</c:v>
                </c:pt>
                <c:pt idx="8" formatCode="_(&quot;R$&quot;* #,##0.00_);_(&quot;R$&quot;* \(#,##0.00\);_(&quot;R$&quot;* &quot;-&quot;??_);_(@_)">
                  <c:v>301.21961885235771</c:v>
                </c:pt>
                <c:pt idx="9" formatCode="_(&quot;R$&quot;* #,##0.00_);_(&quot;R$&quot;* \(#,##0.00\);_(&quot;R$&quot;* &quot;-&quot;??_);_(@_)">
                  <c:v>276.39306353673618</c:v>
                </c:pt>
                <c:pt idx="10" formatCode="_(&quot;R$&quot;* #,##0.00_);_(&quot;R$&quot;* \(#,##0.00\);_(&quot;R$&quot;* &quot;-&quot;??_);_(@_)">
                  <c:v>251.56650822111459</c:v>
                </c:pt>
                <c:pt idx="11" formatCode="_(&quot;R$&quot;* #,##0.00_);_(&quot;R$&quot;* \(#,##0.00\);_(&quot;R$&quot;* &quot;-&quot;??_);_(@_)">
                  <c:v>226.73995290549306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CF-48D4-9866-26BD6B832064}"/>
            </c:ext>
          </c:extLst>
        </c:ser>
        <c:ser>
          <c:idx val="2"/>
          <c:order val="2"/>
          <c:tx>
            <c:strRef>
              <c:f>Planilha5!$D$1</c:f>
              <c:strCache>
                <c:ptCount val="1"/>
                <c:pt idx="0">
                  <c:v>Limite de Confiança Inferior(Valores)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Planilha5!$D$2:$D$13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-42.61440319991965</c:v>
                </c:pt>
                <c:pt idx="8" formatCode="_(&quot;R$&quot;* #,##0.00_);_(&quot;R$&quot;* \(#,##0.00\);_(&quot;R$&quot;* &quot;-&quot;??_);_(@_)">
                  <c:v>-67.442617484406696</c:v>
                </c:pt>
                <c:pt idx="9" formatCode="_(&quot;R$&quot;* #,##0.00_);_(&quot;R$&quot;* \(#,##0.00\);_(&quot;R$&quot;* &quot;-&quot;??_);_(@_)">
                  <c:v>-92.272122059578635</c:v>
                </c:pt>
                <c:pt idx="10" formatCode="_(&quot;R$&quot;* #,##0.00_);_(&quot;R$&quot;* \(#,##0.00\);_(&quot;R$&quot;* &quot;-&quot;??_);_(@_)">
                  <c:v>-117.103285546015</c:v>
                </c:pt>
                <c:pt idx="11" formatCode="_(&quot;R$&quot;* #,##0.00_);_(&quot;R$&quot;* \(#,##0.00\);_(&quot;R$&quot;* &quot;-&quot;??_);_(@_)">
                  <c:v>-141.93647652642068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CF-48D4-9866-26BD6B832064}"/>
            </c:ext>
          </c:extLst>
        </c:ser>
        <c:ser>
          <c:idx val="3"/>
          <c:order val="3"/>
          <c:tx>
            <c:strRef>
              <c:f>Planilha5!$E$1</c:f>
              <c:strCache>
                <c:ptCount val="1"/>
                <c:pt idx="0">
                  <c:v>Limite de Confiança Superior(Valores)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Planilha5!$E$2:$E$13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694.70675153587831</c:v>
                </c:pt>
                <c:pt idx="8" formatCode="_(&quot;R$&quot;* #,##0.00_);_(&quot;R$&quot;* \(#,##0.00\);_(&quot;R$&quot;* &quot;-&quot;??_);_(@_)">
                  <c:v>669.88185518912212</c:v>
                </c:pt>
                <c:pt idx="9" formatCode="_(&quot;R$&quot;* #,##0.00_);_(&quot;R$&quot;* \(#,##0.00\);_(&quot;R$&quot;* &quot;-&quot;??_);_(@_)">
                  <c:v>645.05824913305105</c:v>
                </c:pt>
                <c:pt idx="10" formatCode="_(&quot;R$&quot;* #,##0.00_);_(&quot;R$&quot;* \(#,##0.00\);_(&quot;R$&quot;* &quot;-&quot;??_);_(@_)">
                  <c:v>620.23630198824412</c:v>
                </c:pt>
                <c:pt idx="11" formatCode="_(&quot;R$&quot;* #,##0.00_);_(&quot;R$&quot;* \(#,##0.00\);_(&quot;R$&quot;* &quot;-&quot;??_);_(@_)">
                  <c:v>595.41638233740673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CF-48D4-9866-26BD6B8320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27617888"/>
        <c:axId val="1627627872"/>
      </c:lineChart>
      <c:catAx>
        <c:axId val="16276178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27872"/>
        <c:crosses val="autoZero"/>
        <c:auto val="1"/>
        <c:lblAlgn val="ctr"/>
        <c:lblOffset val="100"/>
        <c:noMultiLvlLbl val="0"/>
      </c:catAx>
      <c:valAx>
        <c:axId val="16276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1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9F287D9-03EE-4DF5-8A87-35AB25FA53A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62F7DF2-1489-4BA8-AFA9-2450D571023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55-49CD-B429-9C12148741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2FB575-EA3E-4DC6-AE39-633710B7E7A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AF96186-3A59-41CB-845D-C6F7A527FC9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C55-49CD-B429-9C12148741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C611F8-26BB-4B5B-B9FB-4111315FD4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F45927B-8185-4C86-AE56-17107E819A7F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C55-49CD-B429-9C12148741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A44375-D0EE-4EFF-847D-C7CD8CD418A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D541537-2ACC-454F-8567-5A9AE1B08FE0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C55-49CD-B429-9C12148741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16880D-8F7A-445C-9890-442F3EB7336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CFE6C21-553B-4E6B-B3C5-C979E2DE029E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C55-49CD-B429-9C12148741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com indicadores'!$A$4:$A$8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'Gráfico com indicadores'!$C$4:$C$8</c:f>
              <c:numCache>
                <c:formatCode>_("R$"* #,##0.00_);_("R$"* \(#,##0.00\);_("R$"* "-"??_);_(@_)</c:formatCode>
                <c:ptCount val="5"/>
                <c:pt idx="0">
                  <c:v>4000</c:v>
                </c:pt>
                <c:pt idx="1">
                  <c:v>3600</c:v>
                </c:pt>
                <c:pt idx="2">
                  <c:v>3800</c:v>
                </c:pt>
                <c:pt idx="3">
                  <c:v>2600</c:v>
                </c:pt>
                <c:pt idx="4">
                  <c:v>2550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'Gráfico com indicadores'!$E$4:$E$8</c15:f>
                <c15:dlblRangeCache>
                  <c:ptCount val="5"/>
                  <c:pt idx="0">
                    <c:v>-20,0%▼</c:v>
                  </c:pt>
                  <c:pt idx="1">
                    <c:v>2,9%▲</c:v>
                  </c:pt>
                  <c:pt idx="2">
                    <c:v>33,3%▲</c:v>
                  </c:pt>
                  <c:pt idx="3">
                    <c:v>-45,8%▼</c:v>
                  </c:pt>
                  <c:pt idx="4">
                    <c:v>-34,6%▼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55-49CD-B429-9C12148741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35"/>
        <c:axId val="1285886783"/>
        <c:axId val="1285887199"/>
      </c:barChart>
      <c:catAx>
        <c:axId val="128588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7199"/>
        <c:crosses val="autoZero"/>
        <c:auto val="1"/>
        <c:lblAlgn val="ctr"/>
        <c:lblOffset val="100"/>
        <c:noMultiLvlLbl val="0"/>
      </c:catAx>
      <c:valAx>
        <c:axId val="1285887199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[Aulas de Excel.xlsm]Planilha3!Tabela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Soma total dos prestadores</a:t>
            </a:r>
          </a:p>
        </c:rich>
      </c:tx>
      <c:layout>
        <c:manualLayout>
          <c:xMode val="edge"/>
          <c:yMode val="edge"/>
          <c:x val="0.2419722222222222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6655110819480898"/>
          <c:w val="0.82664807524059492"/>
          <c:h val="0.6474150627004957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f>Planilha3!$A$4:$A$6</c:f>
              <c:strCache>
                <c:ptCount val="2"/>
                <c:pt idx="0">
                  <c:v>InfoPlay Produtos</c:v>
                </c:pt>
                <c:pt idx="1">
                  <c:v>WZ Informática</c:v>
                </c:pt>
              </c:strCache>
            </c:strRef>
          </c:cat>
          <c:val>
            <c:numRef>
              <c:f>Planilha3!$B$4:$B$6</c:f>
              <c:numCache>
                <c:formatCode>_("R$"* #,##0.00_);_("R$"* \(#,##0.00\);_("R$"* "-"??_);_(@_)</c:formatCode>
                <c:ptCount val="2"/>
                <c:pt idx="0">
                  <c:v>6807</c:v>
                </c:pt>
                <c:pt idx="1">
                  <c:v>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E-4E45-9646-776AA16342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64208895"/>
        <c:axId val="1864213055"/>
        <c:axId val="0"/>
      </c:bar3DChart>
      <c:catAx>
        <c:axId val="186420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4213055"/>
        <c:crosses val="autoZero"/>
        <c:auto val="1"/>
        <c:lblAlgn val="ctr"/>
        <c:lblOffset val="100"/>
        <c:noMultiLvlLbl val="0"/>
      </c:catAx>
      <c:valAx>
        <c:axId val="186421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4208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Excel.xlsm]Planilha3!Tabela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Planilha3!$E$3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Planilha3!$D$4:$D$6</c:f>
              <c:strCache>
                <c:ptCount val="2"/>
                <c:pt idx="0">
                  <c:v>InfoPlay Produtos</c:v>
                </c:pt>
                <c:pt idx="1">
                  <c:v>WZ Informática</c:v>
                </c:pt>
              </c:strCache>
            </c:strRef>
          </c:cat>
          <c:val>
            <c:numRef>
              <c:f>Planilha3!$E$4:$E$6</c:f>
              <c:numCache>
                <c:formatCode>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B-42B9-AE5E-228154B44A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910491551"/>
        <c:axId val="1910479903"/>
        <c:axId val="0"/>
      </c:bar3DChart>
      <c:catAx>
        <c:axId val="1910491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479903"/>
        <c:crosses val="autoZero"/>
        <c:auto val="1"/>
        <c:lblAlgn val="ctr"/>
        <c:lblOffset val="100"/>
        <c:noMultiLvlLbl val="0"/>
      </c:catAx>
      <c:valAx>
        <c:axId val="1910479903"/>
        <c:scaling>
          <c:orientation val="minMax"/>
        </c:scaling>
        <c:delete val="1"/>
        <c:axPos val="b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0" sourceLinked="1"/>
        <c:majorTickMark val="out"/>
        <c:minorTickMark val="none"/>
        <c:tickLblPos val="nextTo"/>
        <c:crossAx val="191049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22" fmlaLink="$E$2" horiz="1" inc="5" max="20" min="1" page="1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96AFF64-C8BF-4A8F-89BD-E668D8620FB1}" type="doc">
      <dgm:prSet loTypeId="urn:microsoft.com/office/officeart/2009/layout/CirclePictureHierarchy" loCatId="hierarchy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EE96C955-0418-4F27-8FF1-C9B287AE72B5}">
      <dgm:prSet phldrT="[Texto]"/>
      <dgm:spPr/>
      <dgm:t>
        <a:bodyPr/>
        <a:lstStyle/>
        <a:p>
          <a:r>
            <a:rPr lang="pt-BR"/>
            <a:t>Aplicativos</a:t>
          </a:r>
        </a:p>
      </dgm:t>
    </dgm:pt>
    <dgm:pt modelId="{077AB28D-4A1B-4D68-804F-617B58186EF7}">
      <dgm:prSet phldrT="[Texto]"/>
      <dgm:spPr/>
      <dgm:t>
        <a:bodyPr/>
        <a:lstStyle/>
        <a:p>
          <a:r>
            <a:rPr lang="pt-BR"/>
            <a:t>Web Design</a:t>
          </a:r>
        </a:p>
      </dgm:t>
    </dgm:pt>
    <dgm:pt modelId="{05A40A56-8B20-4591-8192-28BF1B7CD9AE}">
      <dgm:prSet phldrT="[Texto]"/>
      <dgm:spPr/>
      <dgm:t>
        <a:bodyPr/>
        <a:lstStyle/>
        <a:p>
          <a:r>
            <a:rPr lang="pt-BR"/>
            <a:t>Programação</a:t>
          </a:r>
        </a:p>
      </dgm:t>
    </dgm:pt>
    <dgm:pt modelId="{7637AFA0-D5F4-4BBF-9E94-A0F972B8976F}" type="asst">
      <dgm:prSet phldrT="[Texto]"/>
      <dgm:spPr/>
      <dgm:t>
        <a:bodyPr/>
        <a:lstStyle/>
        <a:p>
          <a:r>
            <a:rPr lang="pt-BR"/>
            <a:t>Gerente Comercial</a:t>
          </a:r>
        </a:p>
      </dgm:t>
    </dgm:pt>
    <dgm:pt modelId="{B7DB568A-8926-436B-A779-87D147041E8E}">
      <dgm:prSet phldrT="[Texto]" custT="1"/>
      <dgm:spPr/>
      <dgm:t>
        <a:bodyPr/>
        <a:lstStyle/>
        <a:p>
          <a:r>
            <a:rPr lang="pt-BR" sz="1600"/>
            <a:t>Diretoria</a:t>
          </a:r>
          <a:endParaRPr lang="pt-BR" sz="2800"/>
        </a:p>
      </dgm:t>
    </dgm:pt>
    <dgm:pt modelId="{16A1FF9C-A8BE-4834-B7E0-E5653F43AA62}" type="sibTrans" cxnId="{A5EE0ED5-649F-4B71-8795-8E68F06373A4}">
      <dgm:prSet/>
      <dgm:spPr/>
      <dgm:t>
        <a:bodyPr/>
        <a:lstStyle/>
        <a:p>
          <a:endParaRPr lang="pt-BR"/>
        </a:p>
      </dgm:t>
    </dgm:pt>
    <dgm:pt modelId="{B00F0BF2-CA8F-4CC9-95BF-E9E260A8480B}" type="parTrans" cxnId="{A5EE0ED5-649F-4B71-8795-8E68F06373A4}">
      <dgm:prSet/>
      <dgm:spPr/>
      <dgm:t>
        <a:bodyPr/>
        <a:lstStyle/>
        <a:p>
          <a:endParaRPr lang="pt-BR"/>
        </a:p>
      </dgm:t>
    </dgm:pt>
    <dgm:pt modelId="{401799A5-108D-4FAD-9E42-B9F84633475B}" type="sibTrans" cxnId="{A8877B70-740D-4603-92FF-C102E8C93895}">
      <dgm:prSet/>
      <dgm:spPr/>
      <dgm:t>
        <a:bodyPr/>
        <a:lstStyle/>
        <a:p>
          <a:endParaRPr lang="pt-BR"/>
        </a:p>
      </dgm:t>
    </dgm:pt>
    <dgm:pt modelId="{B6C002C6-6073-46EB-AD74-BBF128D1C7B9}" type="parTrans" cxnId="{A8877B70-740D-4603-92FF-C102E8C93895}">
      <dgm:prSet/>
      <dgm:spPr/>
      <dgm:t>
        <a:bodyPr/>
        <a:lstStyle/>
        <a:p>
          <a:endParaRPr lang="pt-BR"/>
        </a:p>
      </dgm:t>
    </dgm:pt>
    <dgm:pt modelId="{7EE9962E-DEB7-4CF8-9829-F76066B2F4CE}" type="sibTrans" cxnId="{2BE3BAE1-FC18-4288-8FCB-D9551D43F924}">
      <dgm:prSet/>
      <dgm:spPr/>
      <dgm:t>
        <a:bodyPr/>
        <a:lstStyle/>
        <a:p>
          <a:endParaRPr lang="pt-BR"/>
        </a:p>
      </dgm:t>
    </dgm:pt>
    <dgm:pt modelId="{57D88379-A67E-4A90-A1CE-E647A1B56E9E}" type="parTrans" cxnId="{2BE3BAE1-FC18-4288-8FCB-D9551D43F924}">
      <dgm:prSet/>
      <dgm:spPr/>
      <dgm:t>
        <a:bodyPr/>
        <a:lstStyle/>
        <a:p>
          <a:endParaRPr lang="pt-BR"/>
        </a:p>
      </dgm:t>
    </dgm:pt>
    <dgm:pt modelId="{E7BDDB30-8B4E-47E1-898F-9DDC746BE35E}" type="sibTrans" cxnId="{0BCBAAF0-70BE-4B6F-A18D-3C01C7E6C291}">
      <dgm:prSet/>
      <dgm:spPr/>
      <dgm:t>
        <a:bodyPr/>
        <a:lstStyle/>
        <a:p>
          <a:endParaRPr lang="pt-BR"/>
        </a:p>
      </dgm:t>
    </dgm:pt>
    <dgm:pt modelId="{59D3404B-C1A2-427D-9D04-807B8768B21A}" type="parTrans" cxnId="{0BCBAAF0-70BE-4B6F-A18D-3C01C7E6C291}">
      <dgm:prSet/>
      <dgm:spPr/>
      <dgm:t>
        <a:bodyPr/>
        <a:lstStyle/>
        <a:p>
          <a:endParaRPr lang="pt-BR"/>
        </a:p>
      </dgm:t>
    </dgm:pt>
    <dgm:pt modelId="{57D4E455-F4C5-42CD-8E11-2BA6EC1F75C7}" type="sibTrans" cxnId="{7C53C76D-549E-42D2-8324-9FC7492BC616}">
      <dgm:prSet/>
      <dgm:spPr/>
      <dgm:t>
        <a:bodyPr/>
        <a:lstStyle/>
        <a:p>
          <a:endParaRPr lang="pt-BR"/>
        </a:p>
      </dgm:t>
    </dgm:pt>
    <dgm:pt modelId="{EB552BCC-1BEC-40C9-A75E-2171F05BBA8A}" type="parTrans" cxnId="{7C53C76D-549E-42D2-8324-9FC7492BC616}">
      <dgm:prSet/>
      <dgm:spPr/>
      <dgm:t>
        <a:bodyPr/>
        <a:lstStyle/>
        <a:p>
          <a:endParaRPr lang="pt-BR"/>
        </a:p>
      </dgm:t>
    </dgm:pt>
    <dgm:pt modelId="{84270B30-C6CF-4979-B622-C3C6BBFB772B}" type="asst">
      <dgm:prSet/>
      <dgm:spPr/>
      <dgm:t>
        <a:bodyPr/>
        <a:lstStyle/>
        <a:p>
          <a:r>
            <a:rPr lang="pt-BR"/>
            <a:t>Gerente de Contas</a:t>
          </a:r>
        </a:p>
      </dgm:t>
    </dgm:pt>
    <dgm:pt modelId="{997BB095-C1A1-467C-98A6-2AC568806E33}" type="parTrans" cxnId="{ACC32807-D2EF-4074-94B0-826C56E60043}">
      <dgm:prSet/>
      <dgm:spPr/>
      <dgm:t>
        <a:bodyPr/>
        <a:lstStyle/>
        <a:p>
          <a:endParaRPr lang="pt-BR"/>
        </a:p>
      </dgm:t>
    </dgm:pt>
    <dgm:pt modelId="{3FB43720-4035-4A95-8159-2BCC0246DA07}" type="sibTrans" cxnId="{ACC32807-D2EF-4074-94B0-826C56E60043}">
      <dgm:prSet/>
      <dgm:spPr/>
      <dgm:t>
        <a:bodyPr/>
        <a:lstStyle/>
        <a:p>
          <a:endParaRPr lang="pt-BR"/>
        </a:p>
      </dgm:t>
    </dgm:pt>
    <dgm:pt modelId="{4126D09D-1532-4AAF-A26F-9EAF8F286375}">
      <dgm:prSet/>
      <dgm:spPr/>
      <dgm:t>
        <a:bodyPr/>
        <a:lstStyle/>
        <a:p>
          <a:r>
            <a:rPr lang="pt-BR"/>
            <a:t>Php</a:t>
          </a:r>
        </a:p>
      </dgm:t>
    </dgm:pt>
    <dgm:pt modelId="{3FD8F0F2-7D79-4BB9-B03B-F5CAE338F739}" type="parTrans" cxnId="{A9CCE009-592C-43E4-A18D-915BFE90E39B}">
      <dgm:prSet/>
      <dgm:spPr/>
      <dgm:t>
        <a:bodyPr/>
        <a:lstStyle/>
        <a:p>
          <a:endParaRPr lang="pt-BR"/>
        </a:p>
      </dgm:t>
    </dgm:pt>
    <dgm:pt modelId="{FCEA846F-4073-409B-B23F-DA3C6BF5DB4F}" type="sibTrans" cxnId="{A9CCE009-592C-43E4-A18D-915BFE90E39B}">
      <dgm:prSet/>
      <dgm:spPr/>
      <dgm:t>
        <a:bodyPr/>
        <a:lstStyle/>
        <a:p>
          <a:endParaRPr lang="pt-BR"/>
        </a:p>
      </dgm:t>
    </dgm:pt>
    <dgm:pt modelId="{E3A94BC3-984D-4702-9050-0B77CBE23CEF}">
      <dgm:prSet/>
      <dgm:spPr/>
      <dgm:t>
        <a:bodyPr/>
        <a:lstStyle/>
        <a:p>
          <a:r>
            <a:rPr lang="pt-BR"/>
            <a:t>Kodular / Java</a:t>
          </a:r>
        </a:p>
      </dgm:t>
    </dgm:pt>
    <dgm:pt modelId="{EBB16C59-28E0-4C2A-AE9C-346316EA192D}" type="parTrans" cxnId="{EE493CE0-FB5D-4129-AECC-A1E00DE509DF}">
      <dgm:prSet/>
      <dgm:spPr/>
      <dgm:t>
        <a:bodyPr/>
        <a:lstStyle/>
        <a:p>
          <a:endParaRPr lang="pt-BR"/>
        </a:p>
      </dgm:t>
    </dgm:pt>
    <dgm:pt modelId="{5E9AC1D6-8A53-46BC-AF2C-E6602BCF2C45}" type="sibTrans" cxnId="{EE493CE0-FB5D-4129-AECC-A1E00DE509DF}">
      <dgm:prSet/>
      <dgm:spPr/>
      <dgm:t>
        <a:bodyPr/>
        <a:lstStyle/>
        <a:p>
          <a:endParaRPr lang="pt-BR"/>
        </a:p>
      </dgm:t>
    </dgm:pt>
    <dgm:pt modelId="{8A114AF0-EDAD-4FC1-84A0-F1F446287EA2}" type="pres">
      <dgm:prSet presAssocID="{396AFF64-C8BF-4A8F-89BD-E668D8620FB1}" presName="hierChild1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E501D6FB-D110-4B1D-86CA-A3383016E862}" type="pres">
      <dgm:prSet presAssocID="{B7DB568A-8926-436B-A779-87D147041E8E}" presName="hierRoot1" presStyleCnt="0"/>
      <dgm:spPr/>
    </dgm:pt>
    <dgm:pt modelId="{58F6749F-51E6-4D8F-B607-47FFE940F962}" type="pres">
      <dgm:prSet presAssocID="{B7DB568A-8926-436B-A779-87D147041E8E}" presName="composite" presStyleCnt="0"/>
      <dgm:spPr/>
    </dgm:pt>
    <dgm:pt modelId="{9EA24028-FA37-471D-83C4-A0B14865820A}" type="pres">
      <dgm:prSet presAssocID="{B7DB568A-8926-436B-A779-87D147041E8E}" presName="image" presStyleLbl="node0" presStyleIdx="0" presStyleCnt="1" custScaleX="238743" custScaleY="249475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</dgm:pt>
    <dgm:pt modelId="{0C594CAF-3B94-4017-96B7-666A821EC4D9}" type="pres">
      <dgm:prSet presAssocID="{B7DB568A-8926-436B-A779-87D147041E8E}" presName="text" presStyleLbl="revTx" presStyleIdx="0" presStyleCnt="8" custScaleX="301085" custLinFactX="8824" custLinFactNeighborX="100000" custLinFactNeighborY="-25330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5390A87-08AA-47C0-AC8D-BC0D70E56DFA}" type="pres">
      <dgm:prSet presAssocID="{B7DB568A-8926-436B-A779-87D147041E8E}" presName="hierChild2" presStyleCnt="0"/>
      <dgm:spPr/>
    </dgm:pt>
    <dgm:pt modelId="{AC37C1B1-9B51-4B1E-9821-4A980445C584}" type="pres">
      <dgm:prSet presAssocID="{EB552BCC-1BEC-40C9-A75E-2171F05BBA8A}" presName="Name10" presStyleLbl="parChTrans1D2" presStyleIdx="0" presStyleCnt="5"/>
      <dgm:spPr/>
      <dgm:t>
        <a:bodyPr/>
        <a:lstStyle/>
        <a:p>
          <a:endParaRPr lang="pt-BR"/>
        </a:p>
      </dgm:t>
    </dgm:pt>
    <dgm:pt modelId="{5000443D-5280-4878-92D9-BCA11AAABB42}" type="pres">
      <dgm:prSet presAssocID="{7637AFA0-D5F4-4BBF-9E94-A0F972B8976F}" presName="hierRoot2" presStyleCnt="0"/>
      <dgm:spPr/>
    </dgm:pt>
    <dgm:pt modelId="{E239DF86-EF73-4A85-AED0-E511402CEE93}" type="pres">
      <dgm:prSet presAssocID="{7637AFA0-D5F4-4BBF-9E94-A0F972B8976F}" presName="composite2" presStyleCnt="0"/>
      <dgm:spPr/>
    </dgm:pt>
    <dgm:pt modelId="{2A7B9AFD-E44D-4BED-9E4C-50FB2FF07E93}" type="pres">
      <dgm:prSet presAssocID="{7637AFA0-D5F4-4BBF-9E94-A0F972B8976F}" presName="image2" presStyleLbl="asst1" presStyleIdx="0" presStyleCnt="2"/>
      <dgm:spPr/>
    </dgm:pt>
    <dgm:pt modelId="{5B61DB0F-A6A3-465A-92B9-7D4C15B0259E}" type="pres">
      <dgm:prSet presAssocID="{7637AFA0-D5F4-4BBF-9E94-A0F972B8976F}" presName="text2" presStyleLbl="revTx" presStyleIdx="1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C5A4E0F-CCDF-4320-B5F5-C8640F488641}" type="pres">
      <dgm:prSet presAssocID="{7637AFA0-D5F4-4BBF-9E94-A0F972B8976F}" presName="hierChild3" presStyleCnt="0"/>
      <dgm:spPr/>
    </dgm:pt>
    <dgm:pt modelId="{910A826F-D9FE-453D-B900-8715159AC45A}" type="pres">
      <dgm:prSet presAssocID="{997BB095-C1A1-467C-98A6-2AC568806E33}" presName="Name10" presStyleLbl="parChTrans1D2" presStyleIdx="1" presStyleCnt="5"/>
      <dgm:spPr/>
      <dgm:t>
        <a:bodyPr/>
        <a:lstStyle/>
        <a:p>
          <a:endParaRPr lang="pt-BR"/>
        </a:p>
      </dgm:t>
    </dgm:pt>
    <dgm:pt modelId="{64C95F9F-D354-43E5-9FBA-CD8F155A62C1}" type="pres">
      <dgm:prSet presAssocID="{84270B30-C6CF-4979-B622-C3C6BBFB772B}" presName="hierRoot2" presStyleCnt="0"/>
      <dgm:spPr/>
    </dgm:pt>
    <dgm:pt modelId="{FCEDF24B-1A20-4CE7-AA7C-A84C864E74E1}" type="pres">
      <dgm:prSet presAssocID="{84270B30-C6CF-4979-B622-C3C6BBFB772B}" presName="composite2" presStyleCnt="0"/>
      <dgm:spPr/>
    </dgm:pt>
    <dgm:pt modelId="{BAD051E9-C73E-4A50-B16E-B5A7081DA111}" type="pres">
      <dgm:prSet presAssocID="{84270B30-C6CF-4979-B622-C3C6BBFB772B}" presName="image2" presStyleLbl="asst1" presStyleIdx="1" presStyleCnt="2"/>
      <dgm:spPr/>
    </dgm:pt>
    <dgm:pt modelId="{9F2B0BFE-D713-4FB5-BEA8-D6FA974070E8}" type="pres">
      <dgm:prSet presAssocID="{84270B30-C6CF-4979-B622-C3C6BBFB772B}" presName="text2" presStyleLbl="revTx" presStyleIdx="2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C653E6A4-2786-4FCA-BC48-BE227A1FF5C0}" type="pres">
      <dgm:prSet presAssocID="{84270B30-C6CF-4979-B622-C3C6BBFB772B}" presName="hierChild3" presStyleCnt="0"/>
      <dgm:spPr/>
    </dgm:pt>
    <dgm:pt modelId="{36BD3BCF-C4DE-472F-B0BC-7A32B965F802}" type="pres">
      <dgm:prSet presAssocID="{59D3404B-C1A2-427D-9D04-807B8768B21A}" presName="Name10" presStyleLbl="parChTrans1D2" presStyleIdx="2" presStyleCnt="5"/>
      <dgm:spPr/>
      <dgm:t>
        <a:bodyPr/>
        <a:lstStyle/>
        <a:p>
          <a:endParaRPr lang="pt-BR"/>
        </a:p>
      </dgm:t>
    </dgm:pt>
    <dgm:pt modelId="{ED3E4171-4BC3-42C7-908E-E30D635A7AF5}" type="pres">
      <dgm:prSet presAssocID="{05A40A56-8B20-4591-8192-28BF1B7CD9AE}" presName="hierRoot2" presStyleCnt="0"/>
      <dgm:spPr/>
    </dgm:pt>
    <dgm:pt modelId="{6E795B04-8EEA-4CA8-85E0-B3888393F37F}" type="pres">
      <dgm:prSet presAssocID="{05A40A56-8B20-4591-8192-28BF1B7CD9AE}" presName="composite2" presStyleCnt="0"/>
      <dgm:spPr/>
    </dgm:pt>
    <dgm:pt modelId="{B7480EB8-7F56-4F3A-B0CE-A072BF8DEFE4}" type="pres">
      <dgm:prSet presAssocID="{05A40A56-8B20-4591-8192-28BF1B7CD9AE}" presName="image2" presStyleLbl="node2" presStyleIdx="0" presStyleCnt="3"/>
      <dgm:spPr/>
    </dgm:pt>
    <dgm:pt modelId="{58CE431F-B2D1-4D62-8B7A-4DB1F48FF5E9}" type="pres">
      <dgm:prSet presAssocID="{05A40A56-8B20-4591-8192-28BF1B7CD9AE}" presName="text2" presStyleLbl="revTx" presStyleIdx="3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2AF42FD-9087-485B-BFDD-E1B8EB236242}" type="pres">
      <dgm:prSet presAssocID="{05A40A56-8B20-4591-8192-28BF1B7CD9AE}" presName="hierChild3" presStyleCnt="0"/>
      <dgm:spPr/>
    </dgm:pt>
    <dgm:pt modelId="{F7F1E201-EA9B-4BD8-896A-2066AE1C7852}" type="pres">
      <dgm:prSet presAssocID="{57D88379-A67E-4A90-A1CE-E647A1B56E9E}" presName="Name10" presStyleLbl="parChTrans1D2" presStyleIdx="3" presStyleCnt="5"/>
      <dgm:spPr/>
      <dgm:t>
        <a:bodyPr/>
        <a:lstStyle/>
        <a:p>
          <a:endParaRPr lang="pt-BR"/>
        </a:p>
      </dgm:t>
    </dgm:pt>
    <dgm:pt modelId="{EC0AF85E-117F-4302-9453-55120FCB5875}" type="pres">
      <dgm:prSet presAssocID="{077AB28D-4A1B-4D68-804F-617B58186EF7}" presName="hierRoot2" presStyleCnt="0"/>
      <dgm:spPr/>
    </dgm:pt>
    <dgm:pt modelId="{EAA1E5C4-AAFA-4184-836A-45D027525A45}" type="pres">
      <dgm:prSet presAssocID="{077AB28D-4A1B-4D68-804F-617B58186EF7}" presName="composite2" presStyleCnt="0"/>
      <dgm:spPr/>
    </dgm:pt>
    <dgm:pt modelId="{47BBC76F-63B8-4DE9-A6E3-FAF7185FAAED}" type="pres">
      <dgm:prSet presAssocID="{077AB28D-4A1B-4D68-804F-617B58186EF7}" presName="image2" presStyleLbl="node2" presStyleIdx="1" presStyleCnt="3"/>
      <dgm:spPr/>
    </dgm:pt>
    <dgm:pt modelId="{0657FFC8-51CA-48C9-9A0C-EC4FF1EA6F02}" type="pres">
      <dgm:prSet presAssocID="{077AB28D-4A1B-4D68-804F-617B58186EF7}" presName="text2" presStyleLbl="revTx" presStyleIdx="4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E8690D3B-605E-4E64-9567-043732C1E826}" type="pres">
      <dgm:prSet presAssocID="{077AB28D-4A1B-4D68-804F-617B58186EF7}" presName="hierChild3" presStyleCnt="0"/>
      <dgm:spPr/>
    </dgm:pt>
    <dgm:pt modelId="{7DAAA5FC-2D54-44B4-B2A1-CCC2E40675C0}" type="pres">
      <dgm:prSet presAssocID="{3FD8F0F2-7D79-4BB9-B03B-F5CAE338F739}" presName="Name17" presStyleLbl="parChTrans1D3" presStyleIdx="0" presStyleCnt="2"/>
      <dgm:spPr/>
      <dgm:t>
        <a:bodyPr/>
        <a:lstStyle/>
        <a:p>
          <a:endParaRPr lang="pt-BR"/>
        </a:p>
      </dgm:t>
    </dgm:pt>
    <dgm:pt modelId="{2141F5F8-ACD9-4786-A8EE-59C9C8360F61}" type="pres">
      <dgm:prSet presAssocID="{4126D09D-1532-4AAF-A26F-9EAF8F286375}" presName="hierRoot3" presStyleCnt="0"/>
      <dgm:spPr/>
    </dgm:pt>
    <dgm:pt modelId="{1DCE42A7-A9A6-46A7-8479-6C79B2C473D8}" type="pres">
      <dgm:prSet presAssocID="{4126D09D-1532-4AAF-A26F-9EAF8F286375}" presName="composite3" presStyleCnt="0"/>
      <dgm:spPr/>
    </dgm:pt>
    <dgm:pt modelId="{5A14FE07-32FF-49D9-9F50-231899567BA2}" type="pres">
      <dgm:prSet presAssocID="{4126D09D-1532-4AAF-A26F-9EAF8F286375}" presName="image3" presStyleLbl="node3" presStyleIdx="0" presStyleCnt="2"/>
      <dgm:spPr/>
    </dgm:pt>
    <dgm:pt modelId="{6B952F92-31D9-4039-BC48-5A2C3D7F332D}" type="pres">
      <dgm:prSet presAssocID="{4126D09D-1532-4AAF-A26F-9EAF8F286375}" presName="text3" presStyleLbl="revTx" presStyleIdx="5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513DF4BC-40BE-4B72-BFEE-3970A5FA46B7}" type="pres">
      <dgm:prSet presAssocID="{4126D09D-1532-4AAF-A26F-9EAF8F286375}" presName="hierChild4" presStyleCnt="0"/>
      <dgm:spPr/>
    </dgm:pt>
    <dgm:pt modelId="{519A9349-AE96-4F54-B2C4-5C58482FDB1C}" type="pres">
      <dgm:prSet presAssocID="{B6C002C6-6073-46EB-AD74-BBF128D1C7B9}" presName="Name10" presStyleLbl="parChTrans1D2" presStyleIdx="4" presStyleCnt="5"/>
      <dgm:spPr/>
      <dgm:t>
        <a:bodyPr/>
        <a:lstStyle/>
        <a:p>
          <a:endParaRPr lang="pt-BR"/>
        </a:p>
      </dgm:t>
    </dgm:pt>
    <dgm:pt modelId="{BDF825C5-0DAE-4684-81D0-199DD058F6BF}" type="pres">
      <dgm:prSet presAssocID="{EE96C955-0418-4F27-8FF1-C9B287AE72B5}" presName="hierRoot2" presStyleCnt="0"/>
      <dgm:spPr/>
    </dgm:pt>
    <dgm:pt modelId="{926B6E34-9888-4B48-94BC-248530D306B2}" type="pres">
      <dgm:prSet presAssocID="{EE96C955-0418-4F27-8FF1-C9B287AE72B5}" presName="composite2" presStyleCnt="0"/>
      <dgm:spPr/>
    </dgm:pt>
    <dgm:pt modelId="{B844AE94-0837-4EA4-829F-BDE3928A2135}" type="pres">
      <dgm:prSet presAssocID="{EE96C955-0418-4F27-8FF1-C9B287AE72B5}" presName="image2" presStyleLbl="node2" presStyleIdx="2" presStyleCnt="3"/>
      <dgm:spPr/>
    </dgm:pt>
    <dgm:pt modelId="{516E5B32-77EA-4F90-975A-CD4846E622B2}" type="pres">
      <dgm:prSet presAssocID="{EE96C955-0418-4F27-8FF1-C9B287AE72B5}" presName="text2" presStyleLbl="revTx" presStyleIdx="6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DE4D8F5-31F3-4BD8-B398-868B5898F2BB}" type="pres">
      <dgm:prSet presAssocID="{EE96C955-0418-4F27-8FF1-C9B287AE72B5}" presName="hierChild3" presStyleCnt="0"/>
      <dgm:spPr/>
    </dgm:pt>
    <dgm:pt modelId="{9C355B76-95F5-46DE-AF32-93DABBD30AD8}" type="pres">
      <dgm:prSet presAssocID="{EBB16C59-28E0-4C2A-AE9C-346316EA192D}" presName="Name17" presStyleLbl="parChTrans1D3" presStyleIdx="1" presStyleCnt="2"/>
      <dgm:spPr/>
      <dgm:t>
        <a:bodyPr/>
        <a:lstStyle/>
        <a:p>
          <a:endParaRPr lang="pt-BR"/>
        </a:p>
      </dgm:t>
    </dgm:pt>
    <dgm:pt modelId="{2B3DF871-EA7B-495B-9FDC-F34200F8C313}" type="pres">
      <dgm:prSet presAssocID="{E3A94BC3-984D-4702-9050-0B77CBE23CEF}" presName="hierRoot3" presStyleCnt="0"/>
      <dgm:spPr/>
    </dgm:pt>
    <dgm:pt modelId="{55C8F20A-2F4A-410C-A4E3-0D86A0E653C8}" type="pres">
      <dgm:prSet presAssocID="{E3A94BC3-984D-4702-9050-0B77CBE23CEF}" presName="composite3" presStyleCnt="0"/>
      <dgm:spPr/>
    </dgm:pt>
    <dgm:pt modelId="{5AE7C735-DC70-4DE8-BAC6-9CF881FE69B6}" type="pres">
      <dgm:prSet presAssocID="{E3A94BC3-984D-4702-9050-0B77CBE23CEF}" presName="image3" presStyleLbl="node3" presStyleIdx="1" presStyleCnt="2"/>
      <dgm:spPr/>
    </dgm:pt>
    <dgm:pt modelId="{979F51D3-EC59-41E3-A2A5-4CD30DDEF601}" type="pres">
      <dgm:prSet presAssocID="{E3A94BC3-984D-4702-9050-0B77CBE23CEF}" presName="text3" presStyleLbl="revTx" presStyleIdx="7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53DCE42-E469-4D22-A53D-86C4D7DBEC2A}" type="pres">
      <dgm:prSet presAssocID="{E3A94BC3-984D-4702-9050-0B77CBE23CEF}" presName="hierChild4" presStyleCnt="0"/>
      <dgm:spPr/>
    </dgm:pt>
  </dgm:ptLst>
  <dgm:cxnLst>
    <dgm:cxn modelId="{A5EE0ED5-649F-4B71-8795-8E68F06373A4}" srcId="{396AFF64-C8BF-4A8F-89BD-E668D8620FB1}" destId="{B7DB568A-8926-436B-A779-87D147041E8E}" srcOrd="0" destOrd="0" parTransId="{B00F0BF2-CA8F-4CC9-95BF-E9E260A8480B}" sibTransId="{16A1FF9C-A8BE-4834-B7E0-E5653F43AA62}"/>
    <dgm:cxn modelId="{A8877B70-740D-4603-92FF-C102E8C93895}" srcId="{B7DB568A-8926-436B-A779-87D147041E8E}" destId="{EE96C955-0418-4F27-8FF1-C9B287AE72B5}" srcOrd="4" destOrd="0" parTransId="{B6C002C6-6073-46EB-AD74-BBF128D1C7B9}" sibTransId="{401799A5-108D-4FAD-9E42-B9F84633475B}"/>
    <dgm:cxn modelId="{2011A0C2-F8AF-430C-A663-57E51B9221FB}" type="presOf" srcId="{EBB16C59-28E0-4C2A-AE9C-346316EA192D}" destId="{9C355B76-95F5-46DE-AF32-93DABBD30AD8}" srcOrd="0" destOrd="0" presId="urn:microsoft.com/office/officeart/2009/layout/CirclePictureHierarchy"/>
    <dgm:cxn modelId="{2BE3BAE1-FC18-4288-8FCB-D9551D43F924}" srcId="{B7DB568A-8926-436B-A779-87D147041E8E}" destId="{077AB28D-4A1B-4D68-804F-617B58186EF7}" srcOrd="3" destOrd="0" parTransId="{57D88379-A67E-4A90-A1CE-E647A1B56E9E}" sibTransId="{7EE9962E-DEB7-4CF8-9829-F76066B2F4CE}"/>
    <dgm:cxn modelId="{DD06AA40-A011-4E1C-A0CD-51393C35350D}" type="presOf" srcId="{7637AFA0-D5F4-4BBF-9E94-A0F972B8976F}" destId="{5B61DB0F-A6A3-465A-92B9-7D4C15B0259E}" srcOrd="0" destOrd="0" presId="urn:microsoft.com/office/officeart/2009/layout/CirclePictureHierarchy"/>
    <dgm:cxn modelId="{0BCBAAF0-70BE-4B6F-A18D-3C01C7E6C291}" srcId="{B7DB568A-8926-436B-A779-87D147041E8E}" destId="{05A40A56-8B20-4591-8192-28BF1B7CD9AE}" srcOrd="2" destOrd="0" parTransId="{59D3404B-C1A2-427D-9D04-807B8768B21A}" sibTransId="{E7BDDB30-8B4E-47E1-898F-9DDC746BE35E}"/>
    <dgm:cxn modelId="{A89A1C88-6CC4-4210-9D49-F591F3E00AD5}" type="presOf" srcId="{B7DB568A-8926-436B-A779-87D147041E8E}" destId="{0C594CAF-3B94-4017-96B7-666A821EC4D9}" srcOrd="0" destOrd="0" presId="urn:microsoft.com/office/officeart/2009/layout/CirclePictureHierarchy"/>
    <dgm:cxn modelId="{DD28D15E-44A8-4BF2-8BE2-73C5CABF52EF}" type="presOf" srcId="{84270B30-C6CF-4979-B622-C3C6BBFB772B}" destId="{9F2B0BFE-D713-4FB5-BEA8-D6FA974070E8}" srcOrd="0" destOrd="0" presId="urn:microsoft.com/office/officeart/2009/layout/CirclePictureHierarchy"/>
    <dgm:cxn modelId="{1C7994C3-E1A6-4DC7-A184-7E0685675AA5}" type="presOf" srcId="{59D3404B-C1A2-427D-9D04-807B8768B21A}" destId="{36BD3BCF-C4DE-472F-B0BC-7A32B965F802}" srcOrd="0" destOrd="0" presId="urn:microsoft.com/office/officeart/2009/layout/CirclePictureHierarchy"/>
    <dgm:cxn modelId="{6BDA8C90-677D-468E-94DF-53648BAC83A1}" type="presOf" srcId="{997BB095-C1A1-467C-98A6-2AC568806E33}" destId="{910A826F-D9FE-453D-B900-8715159AC45A}" srcOrd="0" destOrd="0" presId="urn:microsoft.com/office/officeart/2009/layout/CirclePictureHierarchy"/>
    <dgm:cxn modelId="{ACC32807-D2EF-4074-94B0-826C56E60043}" srcId="{B7DB568A-8926-436B-A779-87D147041E8E}" destId="{84270B30-C6CF-4979-B622-C3C6BBFB772B}" srcOrd="1" destOrd="0" parTransId="{997BB095-C1A1-467C-98A6-2AC568806E33}" sibTransId="{3FB43720-4035-4A95-8159-2BCC0246DA07}"/>
    <dgm:cxn modelId="{E1B23965-1CB2-40B8-9A56-D4CC262A920E}" type="presOf" srcId="{05A40A56-8B20-4591-8192-28BF1B7CD9AE}" destId="{58CE431F-B2D1-4D62-8B7A-4DB1F48FF5E9}" srcOrd="0" destOrd="0" presId="urn:microsoft.com/office/officeart/2009/layout/CirclePictureHierarchy"/>
    <dgm:cxn modelId="{7C53C76D-549E-42D2-8324-9FC7492BC616}" srcId="{B7DB568A-8926-436B-A779-87D147041E8E}" destId="{7637AFA0-D5F4-4BBF-9E94-A0F972B8976F}" srcOrd="0" destOrd="0" parTransId="{EB552BCC-1BEC-40C9-A75E-2171F05BBA8A}" sibTransId="{57D4E455-F4C5-42CD-8E11-2BA6EC1F75C7}"/>
    <dgm:cxn modelId="{8EF920A6-3250-4934-887D-DF5AF0EC12A3}" type="presOf" srcId="{077AB28D-4A1B-4D68-804F-617B58186EF7}" destId="{0657FFC8-51CA-48C9-9A0C-EC4FF1EA6F02}" srcOrd="0" destOrd="0" presId="urn:microsoft.com/office/officeart/2009/layout/CirclePictureHierarchy"/>
    <dgm:cxn modelId="{94FBA4F9-2D29-47DB-8151-412D1A1890EC}" type="presOf" srcId="{3FD8F0F2-7D79-4BB9-B03B-F5CAE338F739}" destId="{7DAAA5FC-2D54-44B4-B2A1-CCC2E40675C0}" srcOrd="0" destOrd="0" presId="urn:microsoft.com/office/officeart/2009/layout/CirclePictureHierarchy"/>
    <dgm:cxn modelId="{E4817513-1D52-4652-A134-D00C74437024}" type="presOf" srcId="{E3A94BC3-984D-4702-9050-0B77CBE23CEF}" destId="{979F51D3-EC59-41E3-A2A5-4CD30DDEF601}" srcOrd="0" destOrd="0" presId="urn:microsoft.com/office/officeart/2009/layout/CirclePictureHierarchy"/>
    <dgm:cxn modelId="{700649D1-525F-48FC-B8D4-2EC42643D275}" type="presOf" srcId="{396AFF64-C8BF-4A8F-89BD-E668D8620FB1}" destId="{8A114AF0-EDAD-4FC1-84A0-F1F446287EA2}" srcOrd="0" destOrd="0" presId="urn:microsoft.com/office/officeart/2009/layout/CirclePictureHierarchy"/>
    <dgm:cxn modelId="{A9CCE009-592C-43E4-A18D-915BFE90E39B}" srcId="{077AB28D-4A1B-4D68-804F-617B58186EF7}" destId="{4126D09D-1532-4AAF-A26F-9EAF8F286375}" srcOrd="0" destOrd="0" parTransId="{3FD8F0F2-7D79-4BB9-B03B-F5CAE338F739}" sibTransId="{FCEA846F-4073-409B-B23F-DA3C6BF5DB4F}"/>
    <dgm:cxn modelId="{CAE52266-BED3-4C80-9E36-C81F840E926E}" type="presOf" srcId="{EE96C955-0418-4F27-8FF1-C9B287AE72B5}" destId="{516E5B32-77EA-4F90-975A-CD4846E622B2}" srcOrd="0" destOrd="0" presId="urn:microsoft.com/office/officeart/2009/layout/CirclePictureHierarchy"/>
    <dgm:cxn modelId="{BA30D5F8-6281-418B-BD53-D19A5416538F}" type="presOf" srcId="{4126D09D-1532-4AAF-A26F-9EAF8F286375}" destId="{6B952F92-31D9-4039-BC48-5A2C3D7F332D}" srcOrd="0" destOrd="0" presId="urn:microsoft.com/office/officeart/2009/layout/CirclePictureHierarchy"/>
    <dgm:cxn modelId="{64CF6E61-1799-47D9-8F03-518ADD0922E5}" type="presOf" srcId="{B6C002C6-6073-46EB-AD74-BBF128D1C7B9}" destId="{519A9349-AE96-4F54-B2C4-5C58482FDB1C}" srcOrd="0" destOrd="0" presId="urn:microsoft.com/office/officeart/2009/layout/CirclePictureHierarchy"/>
    <dgm:cxn modelId="{A9A1AE56-359C-403C-BD0D-5ABBAB220100}" type="presOf" srcId="{57D88379-A67E-4A90-A1CE-E647A1B56E9E}" destId="{F7F1E201-EA9B-4BD8-896A-2066AE1C7852}" srcOrd="0" destOrd="0" presId="urn:microsoft.com/office/officeart/2009/layout/CirclePictureHierarchy"/>
    <dgm:cxn modelId="{CE73EE58-3ABC-4B25-ADEC-1E88CD3C8903}" type="presOf" srcId="{EB552BCC-1BEC-40C9-A75E-2171F05BBA8A}" destId="{AC37C1B1-9B51-4B1E-9821-4A980445C584}" srcOrd="0" destOrd="0" presId="urn:microsoft.com/office/officeart/2009/layout/CirclePictureHierarchy"/>
    <dgm:cxn modelId="{EE493CE0-FB5D-4129-AECC-A1E00DE509DF}" srcId="{EE96C955-0418-4F27-8FF1-C9B287AE72B5}" destId="{E3A94BC3-984D-4702-9050-0B77CBE23CEF}" srcOrd="0" destOrd="0" parTransId="{EBB16C59-28E0-4C2A-AE9C-346316EA192D}" sibTransId="{5E9AC1D6-8A53-46BC-AF2C-E6602BCF2C45}"/>
    <dgm:cxn modelId="{C08FD92E-2710-4387-8852-359CE428EABD}" type="presParOf" srcId="{8A114AF0-EDAD-4FC1-84A0-F1F446287EA2}" destId="{E501D6FB-D110-4B1D-86CA-A3383016E862}" srcOrd="0" destOrd="0" presId="urn:microsoft.com/office/officeart/2009/layout/CirclePictureHierarchy"/>
    <dgm:cxn modelId="{DDBDA3A3-07B6-4A16-A025-F0D5E1E252DA}" type="presParOf" srcId="{E501D6FB-D110-4B1D-86CA-A3383016E862}" destId="{58F6749F-51E6-4D8F-B607-47FFE940F962}" srcOrd="0" destOrd="0" presId="urn:microsoft.com/office/officeart/2009/layout/CirclePictureHierarchy"/>
    <dgm:cxn modelId="{8E883931-6488-476E-A988-C310280367F3}" type="presParOf" srcId="{58F6749F-51E6-4D8F-B607-47FFE940F962}" destId="{9EA24028-FA37-471D-83C4-A0B14865820A}" srcOrd="0" destOrd="0" presId="urn:microsoft.com/office/officeart/2009/layout/CirclePictureHierarchy"/>
    <dgm:cxn modelId="{B4B5AAA0-B728-40A6-8D15-98DDCC5EA8BD}" type="presParOf" srcId="{58F6749F-51E6-4D8F-B607-47FFE940F962}" destId="{0C594CAF-3B94-4017-96B7-666A821EC4D9}" srcOrd="1" destOrd="0" presId="urn:microsoft.com/office/officeart/2009/layout/CirclePictureHierarchy"/>
    <dgm:cxn modelId="{76FEF525-5702-4B89-993C-AB035E226D60}" type="presParOf" srcId="{E501D6FB-D110-4B1D-86CA-A3383016E862}" destId="{D5390A87-08AA-47C0-AC8D-BC0D70E56DFA}" srcOrd="1" destOrd="0" presId="urn:microsoft.com/office/officeart/2009/layout/CirclePictureHierarchy"/>
    <dgm:cxn modelId="{41D7F53E-25DB-4CC2-9881-183409F56CEA}" type="presParOf" srcId="{D5390A87-08AA-47C0-AC8D-BC0D70E56DFA}" destId="{AC37C1B1-9B51-4B1E-9821-4A980445C584}" srcOrd="0" destOrd="0" presId="urn:microsoft.com/office/officeart/2009/layout/CirclePictureHierarchy"/>
    <dgm:cxn modelId="{BE810C19-4F66-4896-A099-5A2ECE19A923}" type="presParOf" srcId="{D5390A87-08AA-47C0-AC8D-BC0D70E56DFA}" destId="{5000443D-5280-4878-92D9-BCA11AAABB42}" srcOrd="1" destOrd="0" presId="urn:microsoft.com/office/officeart/2009/layout/CirclePictureHierarchy"/>
    <dgm:cxn modelId="{754FE26C-5312-44E2-8FC2-8B729038FA1A}" type="presParOf" srcId="{5000443D-5280-4878-92D9-BCA11AAABB42}" destId="{E239DF86-EF73-4A85-AED0-E511402CEE93}" srcOrd="0" destOrd="0" presId="urn:microsoft.com/office/officeart/2009/layout/CirclePictureHierarchy"/>
    <dgm:cxn modelId="{8381A42B-7207-450A-BE81-0C7BABE556A7}" type="presParOf" srcId="{E239DF86-EF73-4A85-AED0-E511402CEE93}" destId="{2A7B9AFD-E44D-4BED-9E4C-50FB2FF07E93}" srcOrd="0" destOrd="0" presId="urn:microsoft.com/office/officeart/2009/layout/CirclePictureHierarchy"/>
    <dgm:cxn modelId="{F34B180B-2BDB-4F44-B836-47FDF743FE36}" type="presParOf" srcId="{E239DF86-EF73-4A85-AED0-E511402CEE93}" destId="{5B61DB0F-A6A3-465A-92B9-7D4C15B0259E}" srcOrd="1" destOrd="0" presId="urn:microsoft.com/office/officeart/2009/layout/CirclePictureHierarchy"/>
    <dgm:cxn modelId="{684685B0-59B5-4479-B7FC-F71B9ED16B48}" type="presParOf" srcId="{5000443D-5280-4878-92D9-BCA11AAABB42}" destId="{8C5A4E0F-CCDF-4320-B5F5-C8640F488641}" srcOrd="1" destOrd="0" presId="urn:microsoft.com/office/officeart/2009/layout/CirclePictureHierarchy"/>
    <dgm:cxn modelId="{1C9845FF-D5C4-4CB8-AC04-E1C8D4592ED5}" type="presParOf" srcId="{D5390A87-08AA-47C0-AC8D-BC0D70E56DFA}" destId="{910A826F-D9FE-453D-B900-8715159AC45A}" srcOrd="2" destOrd="0" presId="urn:microsoft.com/office/officeart/2009/layout/CirclePictureHierarchy"/>
    <dgm:cxn modelId="{83B3BE5B-D76F-4B7E-B467-D9FD05170C88}" type="presParOf" srcId="{D5390A87-08AA-47C0-AC8D-BC0D70E56DFA}" destId="{64C95F9F-D354-43E5-9FBA-CD8F155A62C1}" srcOrd="3" destOrd="0" presId="urn:microsoft.com/office/officeart/2009/layout/CirclePictureHierarchy"/>
    <dgm:cxn modelId="{082FBAA7-30F1-4932-B982-395D373A12B3}" type="presParOf" srcId="{64C95F9F-D354-43E5-9FBA-CD8F155A62C1}" destId="{FCEDF24B-1A20-4CE7-AA7C-A84C864E74E1}" srcOrd="0" destOrd="0" presId="urn:microsoft.com/office/officeart/2009/layout/CirclePictureHierarchy"/>
    <dgm:cxn modelId="{560B23D0-DAEF-4189-8DA8-B2AF44046895}" type="presParOf" srcId="{FCEDF24B-1A20-4CE7-AA7C-A84C864E74E1}" destId="{BAD051E9-C73E-4A50-B16E-B5A7081DA111}" srcOrd="0" destOrd="0" presId="urn:microsoft.com/office/officeart/2009/layout/CirclePictureHierarchy"/>
    <dgm:cxn modelId="{EBDC7CDD-9E08-4243-A2EA-66C4EF650A75}" type="presParOf" srcId="{FCEDF24B-1A20-4CE7-AA7C-A84C864E74E1}" destId="{9F2B0BFE-D713-4FB5-BEA8-D6FA974070E8}" srcOrd="1" destOrd="0" presId="urn:microsoft.com/office/officeart/2009/layout/CirclePictureHierarchy"/>
    <dgm:cxn modelId="{3DC66D12-4F87-4D41-868C-388AAEC442EB}" type="presParOf" srcId="{64C95F9F-D354-43E5-9FBA-CD8F155A62C1}" destId="{C653E6A4-2786-4FCA-BC48-BE227A1FF5C0}" srcOrd="1" destOrd="0" presId="urn:microsoft.com/office/officeart/2009/layout/CirclePictureHierarchy"/>
    <dgm:cxn modelId="{A4CB9C78-33BF-4800-AE2A-FC5183F6EECB}" type="presParOf" srcId="{D5390A87-08AA-47C0-AC8D-BC0D70E56DFA}" destId="{36BD3BCF-C4DE-472F-B0BC-7A32B965F802}" srcOrd="4" destOrd="0" presId="urn:microsoft.com/office/officeart/2009/layout/CirclePictureHierarchy"/>
    <dgm:cxn modelId="{DA81541D-F566-486E-AACF-937413D3700E}" type="presParOf" srcId="{D5390A87-08AA-47C0-AC8D-BC0D70E56DFA}" destId="{ED3E4171-4BC3-42C7-908E-E30D635A7AF5}" srcOrd="5" destOrd="0" presId="urn:microsoft.com/office/officeart/2009/layout/CirclePictureHierarchy"/>
    <dgm:cxn modelId="{9D3F9EB9-D6C8-4849-A75B-648ABB2F42FE}" type="presParOf" srcId="{ED3E4171-4BC3-42C7-908E-E30D635A7AF5}" destId="{6E795B04-8EEA-4CA8-85E0-B3888393F37F}" srcOrd="0" destOrd="0" presId="urn:microsoft.com/office/officeart/2009/layout/CirclePictureHierarchy"/>
    <dgm:cxn modelId="{6FB4A23E-F8F3-46AE-A111-B5D385203719}" type="presParOf" srcId="{6E795B04-8EEA-4CA8-85E0-B3888393F37F}" destId="{B7480EB8-7F56-4F3A-B0CE-A072BF8DEFE4}" srcOrd="0" destOrd="0" presId="urn:microsoft.com/office/officeart/2009/layout/CirclePictureHierarchy"/>
    <dgm:cxn modelId="{CA6354EC-328E-4580-8F84-5590A00E87A5}" type="presParOf" srcId="{6E795B04-8EEA-4CA8-85E0-B3888393F37F}" destId="{58CE431F-B2D1-4D62-8B7A-4DB1F48FF5E9}" srcOrd="1" destOrd="0" presId="urn:microsoft.com/office/officeart/2009/layout/CirclePictureHierarchy"/>
    <dgm:cxn modelId="{1ABF2338-FC53-4370-BAB7-F73F4B65DE3B}" type="presParOf" srcId="{ED3E4171-4BC3-42C7-908E-E30D635A7AF5}" destId="{62AF42FD-9087-485B-BFDD-E1B8EB236242}" srcOrd="1" destOrd="0" presId="urn:microsoft.com/office/officeart/2009/layout/CirclePictureHierarchy"/>
    <dgm:cxn modelId="{2C7EE5FC-643A-4C1E-A66E-36A105271C88}" type="presParOf" srcId="{D5390A87-08AA-47C0-AC8D-BC0D70E56DFA}" destId="{F7F1E201-EA9B-4BD8-896A-2066AE1C7852}" srcOrd="6" destOrd="0" presId="urn:microsoft.com/office/officeart/2009/layout/CirclePictureHierarchy"/>
    <dgm:cxn modelId="{A51375B9-4432-47D5-BAA6-CCAE91C9E335}" type="presParOf" srcId="{D5390A87-08AA-47C0-AC8D-BC0D70E56DFA}" destId="{EC0AF85E-117F-4302-9453-55120FCB5875}" srcOrd="7" destOrd="0" presId="urn:microsoft.com/office/officeart/2009/layout/CirclePictureHierarchy"/>
    <dgm:cxn modelId="{FFC29D21-1B7E-432B-9033-D41CAB41C659}" type="presParOf" srcId="{EC0AF85E-117F-4302-9453-55120FCB5875}" destId="{EAA1E5C4-AAFA-4184-836A-45D027525A45}" srcOrd="0" destOrd="0" presId="urn:microsoft.com/office/officeart/2009/layout/CirclePictureHierarchy"/>
    <dgm:cxn modelId="{8ADC87A3-4B4C-47D7-819F-0684392AED2D}" type="presParOf" srcId="{EAA1E5C4-AAFA-4184-836A-45D027525A45}" destId="{47BBC76F-63B8-4DE9-A6E3-FAF7185FAAED}" srcOrd="0" destOrd="0" presId="urn:microsoft.com/office/officeart/2009/layout/CirclePictureHierarchy"/>
    <dgm:cxn modelId="{69F558B3-F1C2-42B4-991F-B729FC655CFA}" type="presParOf" srcId="{EAA1E5C4-AAFA-4184-836A-45D027525A45}" destId="{0657FFC8-51CA-48C9-9A0C-EC4FF1EA6F02}" srcOrd="1" destOrd="0" presId="urn:microsoft.com/office/officeart/2009/layout/CirclePictureHierarchy"/>
    <dgm:cxn modelId="{99B6A68C-6776-4037-ABF5-0AADFB4C150C}" type="presParOf" srcId="{EC0AF85E-117F-4302-9453-55120FCB5875}" destId="{E8690D3B-605E-4E64-9567-043732C1E826}" srcOrd="1" destOrd="0" presId="urn:microsoft.com/office/officeart/2009/layout/CirclePictureHierarchy"/>
    <dgm:cxn modelId="{61B350AF-94C0-473E-97D2-64D20F263356}" type="presParOf" srcId="{E8690D3B-605E-4E64-9567-043732C1E826}" destId="{7DAAA5FC-2D54-44B4-B2A1-CCC2E40675C0}" srcOrd="0" destOrd="0" presId="urn:microsoft.com/office/officeart/2009/layout/CirclePictureHierarchy"/>
    <dgm:cxn modelId="{85B3B231-C9E6-4520-81D3-E8482D2B55E4}" type="presParOf" srcId="{E8690D3B-605E-4E64-9567-043732C1E826}" destId="{2141F5F8-ACD9-4786-A8EE-59C9C8360F61}" srcOrd="1" destOrd="0" presId="urn:microsoft.com/office/officeart/2009/layout/CirclePictureHierarchy"/>
    <dgm:cxn modelId="{407F5C01-FA83-48EC-A76D-548F27EED123}" type="presParOf" srcId="{2141F5F8-ACD9-4786-A8EE-59C9C8360F61}" destId="{1DCE42A7-A9A6-46A7-8479-6C79B2C473D8}" srcOrd="0" destOrd="0" presId="urn:microsoft.com/office/officeart/2009/layout/CirclePictureHierarchy"/>
    <dgm:cxn modelId="{9DCCE5B6-AA35-4080-AE0C-041A43709224}" type="presParOf" srcId="{1DCE42A7-A9A6-46A7-8479-6C79B2C473D8}" destId="{5A14FE07-32FF-49D9-9F50-231899567BA2}" srcOrd="0" destOrd="0" presId="urn:microsoft.com/office/officeart/2009/layout/CirclePictureHierarchy"/>
    <dgm:cxn modelId="{635FD943-8692-410A-AD6C-6216DD00810E}" type="presParOf" srcId="{1DCE42A7-A9A6-46A7-8479-6C79B2C473D8}" destId="{6B952F92-31D9-4039-BC48-5A2C3D7F332D}" srcOrd="1" destOrd="0" presId="urn:microsoft.com/office/officeart/2009/layout/CirclePictureHierarchy"/>
    <dgm:cxn modelId="{0A0CF287-AC0F-4428-A4F4-44606AAC4532}" type="presParOf" srcId="{2141F5F8-ACD9-4786-A8EE-59C9C8360F61}" destId="{513DF4BC-40BE-4B72-BFEE-3970A5FA46B7}" srcOrd="1" destOrd="0" presId="urn:microsoft.com/office/officeart/2009/layout/CirclePictureHierarchy"/>
    <dgm:cxn modelId="{9E3BE1AF-76C9-4B48-A023-335CF5698365}" type="presParOf" srcId="{D5390A87-08AA-47C0-AC8D-BC0D70E56DFA}" destId="{519A9349-AE96-4F54-B2C4-5C58482FDB1C}" srcOrd="8" destOrd="0" presId="urn:microsoft.com/office/officeart/2009/layout/CirclePictureHierarchy"/>
    <dgm:cxn modelId="{0E35EB7E-2E1B-4C68-8FFE-9D0BC65BFB49}" type="presParOf" srcId="{D5390A87-08AA-47C0-AC8D-BC0D70E56DFA}" destId="{BDF825C5-0DAE-4684-81D0-199DD058F6BF}" srcOrd="9" destOrd="0" presId="urn:microsoft.com/office/officeart/2009/layout/CirclePictureHierarchy"/>
    <dgm:cxn modelId="{AB3B7777-71C1-4CF5-8396-7884A916B4C3}" type="presParOf" srcId="{BDF825C5-0DAE-4684-81D0-199DD058F6BF}" destId="{926B6E34-9888-4B48-94BC-248530D306B2}" srcOrd="0" destOrd="0" presId="urn:microsoft.com/office/officeart/2009/layout/CirclePictureHierarchy"/>
    <dgm:cxn modelId="{05A16BA6-5D95-4D1C-A019-8E5B5430E363}" type="presParOf" srcId="{926B6E34-9888-4B48-94BC-248530D306B2}" destId="{B844AE94-0837-4EA4-829F-BDE3928A2135}" srcOrd="0" destOrd="0" presId="urn:microsoft.com/office/officeart/2009/layout/CirclePictureHierarchy"/>
    <dgm:cxn modelId="{22FF45F0-7719-4DBD-A155-081C00EF19A2}" type="presParOf" srcId="{926B6E34-9888-4B48-94BC-248530D306B2}" destId="{516E5B32-77EA-4F90-975A-CD4846E622B2}" srcOrd="1" destOrd="0" presId="urn:microsoft.com/office/officeart/2009/layout/CirclePictureHierarchy"/>
    <dgm:cxn modelId="{10A64448-4007-4AB8-917D-FE8D6F145461}" type="presParOf" srcId="{BDF825C5-0DAE-4684-81D0-199DD058F6BF}" destId="{3DE4D8F5-31F3-4BD8-B398-868B5898F2BB}" srcOrd="1" destOrd="0" presId="urn:microsoft.com/office/officeart/2009/layout/CirclePictureHierarchy"/>
    <dgm:cxn modelId="{F93492D3-594F-4314-BC7D-E144E747D0C3}" type="presParOf" srcId="{3DE4D8F5-31F3-4BD8-B398-868B5898F2BB}" destId="{9C355B76-95F5-46DE-AF32-93DABBD30AD8}" srcOrd="0" destOrd="0" presId="urn:microsoft.com/office/officeart/2009/layout/CirclePictureHierarchy"/>
    <dgm:cxn modelId="{502E7DB0-FFCA-400D-AE4D-561872CFB239}" type="presParOf" srcId="{3DE4D8F5-31F3-4BD8-B398-868B5898F2BB}" destId="{2B3DF871-EA7B-495B-9FDC-F34200F8C313}" srcOrd="1" destOrd="0" presId="urn:microsoft.com/office/officeart/2009/layout/CirclePictureHierarchy"/>
    <dgm:cxn modelId="{B2750612-FF91-40AD-A78B-65760C0EAECD}" type="presParOf" srcId="{2B3DF871-EA7B-495B-9FDC-F34200F8C313}" destId="{55C8F20A-2F4A-410C-A4E3-0D86A0E653C8}" srcOrd="0" destOrd="0" presId="urn:microsoft.com/office/officeart/2009/layout/CirclePictureHierarchy"/>
    <dgm:cxn modelId="{CB97A2E3-D3F7-4B36-B896-7C24B9C50C64}" type="presParOf" srcId="{55C8F20A-2F4A-410C-A4E3-0D86A0E653C8}" destId="{5AE7C735-DC70-4DE8-BAC6-9CF881FE69B6}" srcOrd="0" destOrd="0" presId="urn:microsoft.com/office/officeart/2009/layout/CirclePictureHierarchy"/>
    <dgm:cxn modelId="{BDCE0851-E018-477B-B416-9F0E8F5B84EB}" type="presParOf" srcId="{55C8F20A-2F4A-410C-A4E3-0D86A0E653C8}" destId="{979F51D3-EC59-41E3-A2A5-4CD30DDEF601}" srcOrd="1" destOrd="0" presId="urn:microsoft.com/office/officeart/2009/layout/CirclePictureHierarchy"/>
    <dgm:cxn modelId="{72C65F0D-E15B-4B55-A67A-B88C556F761B}" type="presParOf" srcId="{2B3DF871-EA7B-495B-9FDC-F34200F8C313}" destId="{353DCE42-E469-4D22-A53D-86C4D7DBEC2A}" srcOrd="1" destOrd="0" presId="urn:microsoft.com/office/officeart/2009/layout/CirclePictureHierarchy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C355B76-95F5-46DE-AF32-93DABBD30AD8}">
      <dsp:nvSpPr>
        <dsp:cNvPr id="0" name=""/>
        <dsp:cNvSpPr/>
      </dsp:nvSpPr>
      <dsp:spPr>
        <a:xfrm>
          <a:off x="3847846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9A9349-AE96-4F54-B2C4-5C58482FDB1C}">
      <dsp:nvSpPr>
        <dsp:cNvPr id="0" name=""/>
        <dsp:cNvSpPr/>
      </dsp:nvSpPr>
      <dsp:spPr>
        <a:xfrm>
          <a:off x="1894359" y="1348713"/>
          <a:ext cx="1999207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999207" y="53726"/>
              </a:lnTo>
              <a:lnTo>
                <a:pt x="1999207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DAAA5FC-2D54-44B4-B2A1-CCC2E40675C0}">
      <dsp:nvSpPr>
        <dsp:cNvPr id="0" name=""/>
        <dsp:cNvSpPr/>
      </dsp:nvSpPr>
      <dsp:spPr>
        <a:xfrm>
          <a:off x="2917150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7F1E201-EA9B-4BD8-896A-2066AE1C7852}">
      <dsp:nvSpPr>
        <dsp:cNvPr id="0" name=""/>
        <dsp:cNvSpPr/>
      </dsp:nvSpPr>
      <dsp:spPr>
        <a:xfrm>
          <a:off x="1894359" y="1348713"/>
          <a:ext cx="1068511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068511" y="53726"/>
              </a:lnTo>
              <a:lnTo>
                <a:pt x="1068511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6BD3BCF-C4DE-472F-B0BC-7A32B965F802}">
      <dsp:nvSpPr>
        <dsp:cNvPr id="0" name=""/>
        <dsp:cNvSpPr/>
      </dsp:nvSpPr>
      <dsp:spPr>
        <a:xfrm>
          <a:off x="1894359" y="1348713"/>
          <a:ext cx="137814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37814" y="53726"/>
              </a:lnTo>
              <a:lnTo>
                <a:pt x="137814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10A826F-D9FE-453D-B900-8715159AC45A}">
      <dsp:nvSpPr>
        <dsp:cNvPr id="0" name=""/>
        <dsp:cNvSpPr/>
      </dsp:nvSpPr>
      <dsp:spPr>
        <a:xfrm>
          <a:off x="1101476" y="1348713"/>
          <a:ext cx="792882" cy="106607"/>
        </a:xfrm>
        <a:custGeom>
          <a:avLst/>
          <a:gdLst/>
          <a:ahLst/>
          <a:cxnLst/>
          <a:rect l="0" t="0" r="0" b="0"/>
          <a:pathLst>
            <a:path>
              <a:moveTo>
                <a:pt x="792882" y="0"/>
              </a:moveTo>
              <a:lnTo>
                <a:pt x="792882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C37C1B1-9B51-4B1E-9821-4A980445C584}">
      <dsp:nvSpPr>
        <dsp:cNvPr id="0" name=""/>
        <dsp:cNvSpPr/>
      </dsp:nvSpPr>
      <dsp:spPr>
        <a:xfrm>
          <a:off x="170780" y="1348713"/>
          <a:ext cx="1723578" cy="106607"/>
        </a:xfrm>
        <a:custGeom>
          <a:avLst/>
          <a:gdLst/>
          <a:ahLst/>
          <a:cxnLst/>
          <a:rect l="0" t="0" r="0" b="0"/>
          <a:pathLst>
            <a:path>
              <a:moveTo>
                <a:pt x="1723578" y="0"/>
              </a:moveTo>
              <a:lnTo>
                <a:pt x="1723578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EA24028-FA37-471D-83C4-A0B14865820A}">
      <dsp:nvSpPr>
        <dsp:cNvPr id="0" name=""/>
        <dsp:cNvSpPr/>
      </dsp:nvSpPr>
      <dsp:spPr>
        <a:xfrm>
          <a:off x="1490363" y="504402"/>
          <a:ext cx="807990" cy="844311"/>
        </a:xfrm>
        <a:prstGeom prst="ellipse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0C594CAF-3B94-4017-96B7-666A821EC4D9}">
      <dsp:nvSpPr>
        <dsp:cNvPr id="0" name=""/>
        <dsp:cNvSpPr/>
      </dsp:nvSpPr>
      <dsp:spPr>
        <a:xfrm>
          <a:off x="2105617" y="670768"/>
          <a:ext cx="1528466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lvl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/>
            <a:t>Diretoria</a:t>
          </a:r>
          <a:endParaRPr lang="pt-BR" sz="2800" kern="1200"/>
        </a:p>
      </dsp:txBody>
      <dsp:txXfrm>
        <a:off x="2105617" y="670768"/>
        <a:ext cx="1528466" cy="338435"/>
      </dsp:txXfrm>
    </dsp:sp>
    <dsp:sp modelId="{2A7B9AFD-E44D-4BED-9E4C-50FB2FF07E93}">
      <dsp:nvSpPr>
        <dsp:cNvPr id="0" name=""/>
        <dsp:cNvSpPr/>
      </dsp:nvSpPr>
      <dsp:spPr>
        <a:xfrm>
          <a:off x="156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B61DB0F-A6A3-465A-92B9-7D4C15B0259E}">
      <dsp:nvSpPr>
        <dsp:cNvPr id="0" name=""/>
        <dsp:cNvSpPr/>
      </dsp:nvSpPr>
      <dsp:spPr>
        <a:xfrm>
          <a:off x="33999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Comercial</a:t>
          </a:r>
        </a:p>
      </dsp:txBody>
      <dsp:txXfrm>
        <a:off x="339997" y="1454474"/>
        <a:ext cx="507652" cy="338435"/>
      </dsp:txXfrm>
    </dsp:sp>
    <dsp:sp modelId="{BAD051E9-C73E-4A50-B16E-B5A7081DA111}">
      <dsp:nvSpPr>
        <dsp:cNvPr id="0" name=""/>
        <dsp:cNvSpPr/>
      </dsp:nvSpPr>
      <dsp:spPr>
        <a:xfrm>
          <a:off x="93225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F2B0BFE-D713-4FB5-BEA8-D6FA974070E8}">
      <dsp:nvSpPr>
        <dsp:cNvPr id="0" name=""/>
        <dsp:cNvSpPr/>
      </dsp:nvSpPr>
      <dsp:spPr>
        <a:xfrm>
          <a:off x="127069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de Contas</a:t>
          </a:r>
        </a:p>
      </dsp:txBody>
      <dsp:txXfrm>
        <a:off x="1270694" y="1454474"/>
        <a:ext cx="507652" cy="338435"/>
      </dsp:txXfrm>
    </dsp:sp>
    <dsp:sp modelId="{B7480EB8-7F56-4F3A-B0CE-A072BF8DEFE4}">
      <dsp:nvSpPr>
        <dsp:cNvPr id="0" name=""/>
        <dsp:cNvSpPr/>
      </dsp:nvSpPr>
      <dsp:spPr>
        <a:xfrm>
          <a:off x="1862956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8CE431F-B2D1-4D62-8B7A-4DB1F48FF5E9}">
      <dsp:nvSpPr>
        <dsp:cNvPr id="0" name=""/>
        <dsp:cNvSpPr/>
      </dsp:nvSpPr>
      <dsp:spPr>
        <a:xfrm>
          <a:off x="2201391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Programação</a:t>
          </a:r>
        </a:p>
      </dsp:txBody>
      <dsp:txXfrm>
        <a:off x="2201391" y="1454474"/>
        <a:ext cx="507652" cy="338435"/>
      </dsp:txXfrm>
    </dsp:sp>
    <dsp:sp modelId="{47BBC76F-63B8-4DE9-A6E3-FAF7185FAAED}">
      <dsp:nvSpPr>
        <dsp:cNvPr id="0" name=""/>
        <dsp:cNvSpPr/>
      </dsp:nvSpPr>
      <dsp:spPr>
        <a:xfrm>
          <a:off x="279365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0657FFC8-51CA-48C9-9A0C-EC4FF1EA6F02}">
      <dsp:nvSpPr>
        <dsp:cNvPr id="0" name=""/>
        <dsp:cNvSpPr/>
      </dsp:nvSpPr>
      <dsp:spPr>
        <a:xfrm>
          <a:off x="313208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Web Design</a:t>
          </a:r>
        </a:p>
      </dsp:txBody>
      <dsp:txXfrm>
        <a:off x="3132087" y="1454474"/>
        <a:ext cx="507652" cy="338435"/>
      </dsp:txXfrm>
    </dsp:sp>
    <dsp:sp modelId="{5A14FE07-32FF-49D9-9F50-231899567BA2}">
      <dsp:nvSpPr>
        <dsp:cNvPr id="0" name=""/>
        <dsp:cNvSpPr/>
      </dsp:nvSpPr>
      <dsp:spPr>
        <a:xfrm>
          <a:off x="2793652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6B952F92-31D9-4039-BC48-5A2C3D7F332D}">
      <dsp:nvSpPr>
        <dsp:cNvPr id="0" name=""/>
        <dsp:cNvSpPr/>
      </dsp:nvSpPr>
      <dsp:spPr>
        <a:xfrm>
          <a:off x="3132087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Php</a:t>
          </a:r>
        </a:p>
      </dsp:txBody>
      <dsp:txXfrm>
        <a:off x="3132087" y="1899516"/>
        <a:ext cx="507652" cy="338435"/>
      </dsp:txXfrm>
    </dsp:sp>
    <dsp:sp modelId="{B844AE94-0837-4EA4-829F-BDE3928A2135}">
      <dsp:nvSpPr>
        <dsp:cNvPr id="0" name=""/>
        <dsp:cNvSpPr/>
      </dsp:nvSpPr>
      <dsp:spPr>
        <a:xfrm>
          <a:off x="372434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16E5B32-77EA-4F90-975A-CD4846E622B2}">
      <dsp:nvSpPr>
        <dsp:cNvPr id="0" name=""/>
        <dsp:cNvSpPr/>
      </dsp:nvSpPr>
      <dsp:spPr>
        <a:xfrm>
          <a:off x="406278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Aplicativos</a:t>
          </a:r>
        </a:p>
      </dsp:txBody>
      <dsp:txXfrm>
        <a:off x="4062784" y="1454474"/>
        <a:ext cx="507652" cy="338435"/>
      </dsp:txXfrm>
    </dsp:sp>
    <dsp:sp modelId="{5AE7C735-DC70-4DE8-BAC6-9CF881FE69B6}">
      <dsp:nvSpPr>
        <dsp:cNvPr id="0" name=""/>
        <dsp:cNvSpPr/>
      </dsp:nvSpPr>
      <dsp:spPr>
        <a:xfrm>
          <a:off x="3724349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79F51D3-EC59-41E3-A2A5-4CD30DDEF601}">
      <dsp:nvSpPr>
        <dsp:cNvPr id="0" name=""/>
        <dsp:cNvSpPr/>
      </dsp:nvSpPr>
      <dsp:spPr>
        <a:xfrm>
          <a:off x="4062784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Kodular / Java</a:t>
          </a:r>
        </a:p>
      </dsp:txBody>
      <dsp:txXfrm>
        <a:off x="4062784" y="1899516"/>
        <a:ext cx="507652" cy="3384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layout/CirclePictureHierarchy">
  <dgm:title val=""/>
  <dgm:desc val=""/>
  <dgm:catLst>
    <dgm:cat type="hierarchy" pri="1750"/>
    <dgm:cat type="picture" pri="23000"/>
    <dgm:cat type="pictureconvert" pri="2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hierChild1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ptType="node" op="equ" val="65"/>
      <dgm:constr type="w" for="des" forName="composite" refType="w"/>
      <dgm:constr type="h" for="des" forName="composite" refType="w" refFor="des" refForName="composite" fact="0.5"/>
      <dgm:constr type="w" for="des" forName="composite2" refType="w" refFor="des" refForName="composite"/>
      <dgm:constr type="h" for="des" forName="composite2" refType="h" refFor="des" refForName="composite"/>
      <dgm:constr type="w" for="des" forName="composite3" refType="w" refFor="des" refForName="composite"/>
      <dgm:constr type="h" for="des" forName="composite3" refType="h" refFor="des" refForName="composite"/>
      <dgm:constr type="w" for="des" forName="composite4" refType="w" refFor="des" refForName="composite"/>
      <dgm:constr type="h" for="des" forName="composite4" refType="h" refFor="des" refForName="composite"/>
      <dgm:constr type="w" for="des" forName="composite5" refType="w" refFor="des" refForName="composite"/>
      <dgm:constr type="h" for="des" forName="composite5" refType="h" refFor="des" refForName="composite"/>
      <dgm:constr type="sibSp" refType="w" refFor="des" refForName="composite" fact="0.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p" for="des" forName="hierRoot1" refType="h" refFor="des" refForName="composite" fact="0.25"/>
      <dgm:constr type="sp" for="des" forName="hierRoot2" refType="sp" refFor="des" refForName="hierRoot1"/>
      <dgm:constr type="sp" for="des" forName="hierRoot3" refType="sp" refFor="des" refForName="hierRoot1"/>
      <dgm:constr type="sp" for="des" forName="hierRoot4" refType="sp" refFor="des" refForName="hierRoot1"/>
      <dgm:constr type="sp" for="des" forName="hierRoot5" refType="sp" refFor="des" refForName="hierRoot1"/>
    </dgm:constrLst>
    <dgm:ruleLst/>
    <dgm:forEach name="Name3" axis="ch">
      <dgm:forEach name="Name4" axis="self" ptType="node">
        <dgm:layoutNode name="hierRoot1">
          <dgm:alg type="hierRoot"/>
          <dgm:shape xmlns:r="http://schemas.openxmlformats.org/officeDocument/2006/relationships" r:blip="">
            <dgm:adjLst/>
          </dgm:shape>
          <dgm:presOf/>
          <dgm:constrLst>
            <dgm:constr type="bendDist" for="des" ptType="parTrans" refType="sp" fact="0.5"/>
          </dgm:constrLst>
          <dgm:ruleLst/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onstrLst>
              <dgm:constr type="h" for="ch" forName="image" refType="h" fact="0.8"/>
              <dgm:constr type="w" for="ch" forName="image" refType="h" refFor="ch" refForName="image"/>
              <dgm:constr type="t" for="ch" forName="image" refType="h" fact="0.1"/>
              <dgm:constr type="l" for="ch" forName="image"/>
              <dgm:constr type="w" for="ch" forName="text" refType="w" fact="0.6"/>
              <dgm:constr type="h" for="ch" forName="text" refType="h" fact="0.8"/>
              <dgm:constr type="t" for="ch" forName="text" refType="w" fact="0.04"/>
              <dgm:constr type="l" for="ch" forName="text" refType="w" fact="0.4"/>
            </dgm:constrLst>
            <dgm:ruleLst/>
            <dgm:layoutNode name="image" styleLbl="node0">
              <dgm:alg type="sp"/>
              <dgm:shape xmlns:r="http://schemas.openxmlformats.org/officeDocument/2006/relationships" type="ellipse" r:blip="" blipPhldr="1">
                <dgm:adjLst/>
              </dgm:shape>
              <dgm:presOf/>
              <dgm:constrLst/>
              <dgm:ruleLst/>
            </dgm:layoutNode>
            <dgm:layoutNode name="text" styleLbl="revTx">
              <dgm:varLst>
                <dgm:chPref val="3"/>
              </dgm:varLst>
              <dgm:alg type="tx">
                <dgm:param type="parTxLTRAlign" val="l"/>
                <dgm:param type="parTxRTLAlign" val="r"/>
              </dgm:alg>
              <dgm:shape xmlns:r="http://schemas.openxmlformats.org/officeDocument/2006/relationships" type="rect" r:blip="">
                <dgm:adjLst/>
              </dgm:shape>
              <dgm:presOf axis="self"/>
              <dgm:constrLst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layoutNode>
          <dgm:layoutNode name="hierChild2">
            <dgm:choose name="Name5">
              <dgm:if name="Name6" func="var" arg="dir" op="equ" val="norm">
                <dgm:alg type="hierChild">
                  <dgm:param type="linDir" val="fromL"/>
                </dgm:alg>
              </dgm:if>
              <dgm:else name="Name7">
                <dgm:alg type="hierChild">
                  <dgm:param type="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8" axis="ch">
              <dgm:forEach name="Name9" axis="self" ptType="parTrans" cnt="1">
                <dgm:layoutNode name="Name10">
                  <dgm:alg type="conn">
                    <dgm:param type="dim" val="1D"/>
                    <dgm:param type="endSty" val="noArr"/>
                    <dgm:param type="connRout" val="bend"/>
                    <dgm:param type="bendPt" val="end"/>
                    <dgm:param type="begPts" val="bCtr"/>
                    <dgm:param type="endPts" val="tCtr"/>
                    <dgm:param type="srcNode" val="image"/>
                    <dgm:param type="dstNode" val="image2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1" axis="self" ptType="node">
                <dgm:layoutNode name="hierRoot2">
                  <dgm:alg type="hierRoot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bendDist" for="des" ptType="parTrans" refType="sp" fact="0.5"/>
                  </dgm:constrLst>
                  <dgm:ruleLst/>
                  <dgm:layoutNode name="composite2">
                    <dgm:alg type="composite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h" for="ch" forName="image2" refType="h" fact="0.8"/>
                      <dgm:constr type="w" for="ch" forName="image2" refType="h" refFor="ch" refForName="image2"/>
                      <dgm:constr type="t" for="ch" forName="image2" refType="h" fact="0.1"/>
                      <dgm:constr type="l" for="ch" forName="image2"/>
                      <dgm:constr type="w" for="ch" forName="text2" refType="w" fact="0.6"/>
                      <dgm:constr type="h" for="ch" forName="text2" refType="h" fact="0.8"/>
                      <dgm:constr type="t" for="ch" forName="text2" refType="w" fact="0.04"/>
                      <dgm:constr type="l" for="ch" forName="text2" refType="w" fact="0.4"/>
                    </dgm:constrLst>
                    <dgm:ruleLst/>
                    <dgm:layoutNode name="image2">
                      <dgm:alg type="sp"/>
                      <dgm:shape xmlns:r="http://schemas.openxmlformats.org/officeDocument/2006/relationships" type="ellipse" r:blip="" blipPhldr="1">
                        <dgm:adjLst/>
                      </dgm:shape>
                      <dgm:presOf/>
                      <dgm:constrLst/>
                      <dgm:ruleLst/>
                    </dgm:layoutNode>
                    <dgm:layoutNode name="text2" styleLbl="revTx">
                      <dgm:varLst>
                        <dgm:chPref val="3"/>
                      </dgm:varLst>
                      <dgm:alg type="tx">
                        <dgm:param type="parTxLTRAlign" val="l"/>
                        <dgm:param type="parTxRTLAlign" val="r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layoutNode>
                  <dgm:layoutNode name="hierChild3">
                    <dgm:choose name="Name12">
                      <dgm:if name="Name13" func="var" arg="dir" op="equ" val="norm">
                        <dgm:alg type="hierChild">
                          <dgm:param type="linDir" val="fromL"/>
                        </dgm:alg>
                      </dgm:if>
                      <dgm:else name="Name14">
                        <dgm:alg type="hierChild">
                          <dgm:param type="linDir" val="from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15" axis="ch">
                      <dgm:forEach name="Name16" axis="self" ptType="parTrans" cnt="1">
                        <dgm:layoutNode name="Name17">
                          <dgm:alg type="conn">
                            <dgm:param type="dim" val="1D"/>
                            <dgm:param type="endSty" val="noArr"/>
                            <dgm:param type="connRout" val="bend"/>
                            <dgm:param type="bendPt" val="end"/>
                            <dgm:param type="begPts" val="bCtr"/>
                            <dgm:param type="endPts" val="tCtr"/>
                            <dgm:param type="srcNode" val="image2"/>
                            <dgm:param type="dstNode" val="image3"/>
                          </dgm:alg>
                          <dgm:shape xmlns:r="http://schemas.openxmlformats.org/officeDocument/2006/relationships" type="conn" r:blip="" zOrderOff="-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forEach>
                      <dgm:forEach name="Name18" axis="self" ptType="node">
                        <dgm:layoutNode name="hierRoot3">
                          <dgm:alg type="hierRoot"/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constrLst>
                            <dgm:constr type="bendDist" for="des" ptType="parTrans" refType="sp" fact="0.5"/>
                          </dgm:constrLst>
                          <dgm:ruleLst/>
                          <dgm:layoutNode name="composite3">
                            <dgm:alg type="composite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h" for="ch" forName="image3" refType="h" fact="0.8"/>
                              <dgm:constr type="w" for="ch" forName="image3" refType="h" refFor="ch" refForName="image3"/>
                              <dgm:constr type="t" for="ch" forName="image3" refType="h" fact="0.1"/>
                              <dgm:constr type="l" for="ch" forName="image3"/>
                              <dgm:constr type="w" for="ch" forName="text3" refType="w" fact="0.6"/>
                              <dgm:constr type="h" for="ch" forName="text3" refType="h" fact="0.8"/>
                              <dgm:constr type="t" for="ch" forName="text3" refType="w" fact="0.04"/>
                              <dgm:constr type="l" for="ch" forName="text3" refType="w" fact="0.4"/>
                            </dgm:constrLst>
                            <dgm:ruleLst/>
                            <dgm:layoutNode name="image3">
                              <dgm:alg type="sp"/>
                              <dgm:shape xmlns:r="http://schemas.openxmlformats.org/officeDocument/2006/relationships" type="ellipse" r:blip="" blipPhldr="1">
                                <dgm:adjLst/>
                              </dgm:shape>
                              <dgm:presOf/>
                              <dgm:constrLst/>
                              <dgm:ruleLst/>
                            </dgm:layoutNode>
                            <dgm:layoutNode name="text3" styleLbl="revTx">
                              <dgm:varLst>
                                <dgm:chPref val="3"/>
                              </dgm:varLst>
                              <dgm:alg type="tx">
                                <dgm:param type="parTxLTRAlign" val="l"/>
                                <dgm:param type="parTxRTLAlign" val="r"/>
                              </dgm:alg>
                              <dgm:shape xmlns:r="http://schemas.openxmlformats.org/officeDocument/2006/relationships" type="rect" r:blip="">
                                <dgm:adjLst/>
                              </dgm:shape>
                              <dgm:presOf axis="self"/>
                              <dgm:constrLst>
                                <dgm:constr type="tMarg" refType="primFontSz" fact="0.3"/>
                                <dgm:constr type="bMarg" refType="primFontSz" fact="0.3"/>
                                <dgm:constr type="lMarg" refType="primFontSz" fact="0.3"/>
                                <dgm:constr type="rMarg" refType="primFontSz" fact="0.3"/>
                              </dgm:constrLst>
                              <dgm:ruleLst>
                                <dgm:rule type="primFontSz" val="5" fact="NaN" max="NaN"/>
                              </dgm:ruleLst>
                            </dgm:layoutNode>
                          </dgm:layoutNode>
                          <dgm:layoutNode name="hierChild4">
                            <dgm:choose name="Name19">
                              <dgm:if name="Name20" func="var" arg="dir" op="equ" val="norm">
                                <dgm:alg type="hierChild">
                                  <dgm:param type="linDir" val="fromL"/>
                                </dgm:alg>
                              </dgm:if>
                              <dgm:else name="Name21">
                                <dgm:alg type="hierChild">
                                  <dgm:param type="linDir" val="fromR"/>
                                </dgm:alg>
                              </dgm:else>
                            </dgm:choose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/>
                            <dgm:ruleLst/>
                            <dgm:forEach name="repeat" axis="ch">
                              <dgm:forEach name="Name22" axis="self" ptType="parTrans" cnt="1">
                                <dgm:layoutNode name="Name23">
                                  <dgm:choose name="Name24">
                                    <dgm:if name="Name25" axis="self" func="depth" op="lte" val="4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3"/>
                                        <dgm:param type="dstNode" val="image4"/>
                                      </dgm:alg>
                                    </dgm:if>
                                    <dgm:else name="Name26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4"/>
                                        <dgm:param type="dstNode" val="image4"/>
                                      </dgm:alg>
                                    </dgm:else>
                                  </dgm:choose>
                                  <dgm:shape xmlns:r="http://schemas.openxmlformats.org/officeDocument/2006/relationships" type="conn" r:blip="" zOrderOff="-999">
                                    <dgm:adjLst/>
                                  </dgm:shape>
                                  <dgm:presOf axis="self"/>
                                  <dgm:constrLst>
                                    <dgm:constr type="begPad"/>
                                    <dgm:constr type="endPad"/>
                                  </dgm:constrLst>
                                  <dgm:ruleLst/>
                                </dgm:layoutNode>
                              </dgm:forEach>
                              <dgm:forEach name="Name27" axis="self" ptType="node">
                                <dgm:layoutNode name="hierRoot4">
                                  <dgm:alg type="hierRoot"/>
                                  <dgm:shape xmlns:r="http://schemas.openxmlformats.org/officeDocument/2006/relationships" r:blip="">
                                    <dgm:adjLst/>
                                  </dgm:shape>
                                  <dgm:presOf/>
                                  <dgm:constrLst>
                                    <dgm:constr type="bendDist" for="des" ptType="parTrans" refType="sp" fact="0.5"/>
                                  </dgm:constrLst>
                                  <dgm:ruleLst/>
                                  <dgm:layoutNode name="composite4">
                                    <dgm:alg type="composite"/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>
                                      <dgm:constr type="h" for="ch" forName="image4" refType="h" fact="0.8"/>
                                      <dgm:constr type="w" for="ch" forName="image4" refType="h" refFor="ch" refForName="image4"/>
                                      <dgm:constr type="t" for="ch" forName="image4" refType="h" fact="0.1"/>
                                      <dgm:constr type="l" for="ch" forName="image4"/>
                                      <dgm:constr type="w" for="ch" forName="text4" refType="w" fact="0.6"/>
                                      <dgm:constr type="h" for="ch" forName="text4" refType="h" fact="0.8"/>
                                      <dgm:constr type="t" for="ch" forName="text4" refType="w" fact="0.04"/>
                                      <dgm:constr type="l" for="ch" forName="text4" refType="w" fact="0.4"/>
                                    </dgm:constrLst>
                                    <dgm:ruleLst/>
                                    <dgm:layoutNode name="image4">
                                      <dgm:alg type="sp"/>
                                      <dgm:shape xmlns:r="http://schemas.openxmlformats.org/officeDocument/2006/relationships" type="ellipse" r:blip="" blipPhldr="1">
                                        <dgm:adjLst/>
                                      </dgm:shape>
                                      <dgm:presOf/>
                                      <dgm:constrLst/>
                                      <dgm:ruleLst/>
                                    </dgm:layoutNode>
                                    <dgm:layoutNode name="text4" styleLbl="revTx">
                                      <dgm:varLst>
                                        <dgm:chPref val="3"/>
                                      </dgm:varLst>
                                      <dgm:alg type="tx">
                                        <dgm:param type="parTxLTRAlign" val="l"/>
                                        <dgm:param type="parTxRTLAlign" val="r"/>
                                      </dgm:alg>
                                      <dgm:shape xmlns:r="http://schemas.openxmlformats.org/officeDocument/2006/relationships" type="rect" r:blip="">
                                        <dgm:adjLst/>
                                      </dgm:shape>
                                      <dgm:presOf axis="self"/>
                                      <dgm:constrLst>
                                        <dgm:constr type="tMarg" refType="primFontSz" fact="0.3"/>
                                        <dgm:constr type="bMarg" refType="primFontSz" fact="0.3"/>
                                        <dgm:constr type="lMarg" refType="primFontSz" fact="0.3"/>
                                        <dgm:constr type="rMarg" refType="primFontSz" fact="0.3"/>
                                      </dgm:constrLst>
                                      <dgm:ruleLst>
                                        <dgm:rule type="primFontSz" val="5" fact="NaN" max="NaN"/>
                                      </dgm:ruleLst>
                                    </dgm:layoutNode>
                                  </dgm:layoutNode>
                                  <dgm:layoutNode name="hierChild5">
                                    <dgm:choose name="Name28">
                                      <dgm:if name="Name29" func="var" arg="dir" op="equ" val="norm">
                                        <dgm:alg type="hierChild">
                                          <dgm:param type="linDir" val="fromL"/>
                                        </dgm:alg>
                                      </dgm:if>
                                      <dgm:else name="Name30">
                                        <dgm:alg type="hierChild">
                                          <dgm:param type="linDir" val="fromR"/>
                                        </dgm:alg>
                                      </dgm:else>
                                    </dgm:choose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/>
                                    <dgm:ruleLst/>
                                    <dgm:forEach name="Name31" ref="repeat"/>
                                  </dgm:layoutNode>
                                </dgm:layoutNode>
                              </dgm:forEach>
                            </dgm:forEach>
                          </dgm:layoutNode>
                        </dgm:layoutNode>
                      </dgm:forEach>
                    </dgm:forEach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376237</xdr:colOff>
      <xdr:row>8</xdr:row>
      <xdr:rowOff>180974</xdr:rowOff>
    </xdr:from>
    <xdr:to>
      <xdr:col>7</xdr:col>
      <xdr:colOff>600075</xdr:colOff>
      <xdr:row>21</xdr:row>
      <xdr:rowOff>19049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57149</xdr:colOff>
      <xdr:row>23</xdr:row>
      <xdr:rowOff>66677</xdr:rowOff>
    </xdr:from>
    <xdr:to>
      <xdr:col>7</xdr:col>
      <xdr:colOff>885825</xdr:colOff>
      <xdr:row>25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abe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be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4" y="4552952"/>
              <a:ext cx="5172076" cy="409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5</xdr:row>
      <xdr:rowOff>57150</xdr:rowOff>
    </xdr:from>
    <xdr:to>
      <xdr:col>1</xdr:col>
      <xdr:colOff>428625</xdr:colOff>
      <xdr:row>18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 Operacio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1104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466725</xdr:colOff>
      <xdr:row>5</xdr:row>
      <xdr:rowOff>66675</xdr:rowOff>
    </xdr:from>
    <xdr:to>
      <xdr:col>3</xdr:col>
      <xdr:colOff>361950</xdr:colOff>
      <xdr:row>18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Valor da Licenç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da Lic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1114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57150</xdr:rowOff>
        </xdr:from>
        <xdr:to>
          <xdr:col>7</xdr:col>
          <xdr:colOff>1419225</xdr:colOff>
          <xdr:row>7</xdr:row>
          <xdr:rowOff>123825</xdr:rowOff>
        </xdr:to>
        <xdr:sp macro="" textlink="">
          <xdr:nvSpPr>
            <xdr:cNvPr id="67590" name="Scroll Bar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</xdr:row>
      <xdr:rowOff>66675</xdr:rowOff>
    </xdr:from>
    <xdr:to>
      <xdr:col>8</xdr:col>
      <xdr:colOff>571500</xdr:colOff>
      <xdr:row>17</xdr:row>
      <xdr:rowOff>142875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10</xdr:row>
      <xdr:rowOff>142875</xdr:rowOff>
    </xdr:from>
    <xdr:to>
      <xdr:col>10</xdr:col>
      <xdr:colOff>361950</xdr:colOff>
      <xdr:row>21</xdr:row>
      <xdr:rowOff>85725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13</xdr:row>
      <xdr:rowOff>57149</xdr:rowOff>
    </xdr:from>
    <xdr:to>
      <xdr:col>5</xdr:col>
      <xdr:colOff>38100</xdr:colOff>
      <xdr:row>26</xdr:row>
      <xdr:rowOff>123824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142875</xdr:rowOff>
    </xdr:from>
    <xdr:to>
      <xdr:col>12</xdr:col>
      <xdr:colOff>438150</xdr:colOff>
      <xdr:row>15</xdr:row>
      <xdr:rowOff>28575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18</xdr:row>
          <xdr:rowOff>66675</xdr:rowOff>
        </xdr:from>
        <xdr:to>
          <xdr:col>4</xdr:col>
          <xdr:colOff>333375</xdr:colOff>
          <xdr:row>19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Sorteio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18</xdr:row>
          <xdr:rowOff>57150</xdr:rowOff>
        </xdr:from>
        <xdr:to>
          <xdr:col>6</xdr:col>
          <xdr:colOff>152400</xdr:colOff>
          <xdr:row>19</xdr:row>
          <xdr:rowOff>171450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</xdr:row>
      <xdr:rowOff>28575</xdr:rowOff>
    </xdr:from>
    <xdr:to>
      <xdr:col>4</xdr:col>
      <xdr:colOff>76200</xdr:colOff>
      <xdr:row>3</xdr:row>
      <xdr:rowOff>9525</xdr:rowOff>
    </xdr:to>
    <xdr:sp macro="[0]!Smart" textlink="">
      <xdr:nvSpPr>
        <xdr:cNvPr id="4" name="Retângulo Arredondado 3"/>
        <xdr:cNvSpPr/>
      </xdr:nvSpPr>
      <xdr:spPr>
        <a:xfrm>
          <a:off x="1552575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Smart Tv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142875</xdr:colOff>
      <xdr:row>1</xdr:row>
      <xdr:rowOff>28575</xdr:rowOff>
    </xdr:from>
    <xdr:to>
      <xdr:col>5</xdr:col>
      <xdr:colOff>742950</xdr:colOff>
      <xdr:row>3</xdr:row>
      <xdr:rowOff>9525</xdr:rowOff>
    </xdr:to>
    <xdr:sp macro="[0]!Notebook" textlink="">
      <xdr:nvSpPr>
        <xdr:cNvPr id="5" name="Retângulo Arredondado 4"/>
        <xdr:cNvSpPr/>
      </xdr:nvSpPr>
      <xdr:spPr>
        <a:xfrm>
          <a:off x="3028950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Notebook</a:t>
          </a:r>
        </a:p>
      </xdr:txBody>
    </xdr:sp>
    <xdr:clientData/>
  </xdr:twoCellAnchor>
  <xdr:twoCellAnchor>
    <xdr:from>
      <xdr:col>5</xdr:col>
      <xdr:colOff>809625</xdr:colOff>
      <xdr:row>1</xdr:row>
      <xdr:rowOff>28575</xdr:rowOff>
    </xdr:from>
    <xdr:to>
      <xdr:col>7</xdr:col>
      <xdr:colOff>438150</xdr:colOff>
      <xdr:row>3</xdr:row>
      <xdr:rowOff>9525</xdr:rowOff>
    </xdr:to>
    <xdr:sp macro="" textlink="">
      <xdr:nvSpPr>
        <xdr:cNvPr id="6" name="Retângulo Arredondado 5"/>
        <xdr:cNvSpPr/>
      </xdr:nvSpPr>
      <xdr:spPr>
        <a:xfrm>
          <a:off x="4505325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Desktop</a:t>
          </a:r>
        </a:p>
      </xdr:txBody>
    </xdr:sp>
    <xdr:clientData/>
  </xdr:twoCellAnchor>
  <xdr:twoCellAnchor>
    <xdr:from>
      <xdr:col>8</xdr:col>
      <xdr:colOff>723900</xdr:colOff>
      <xdr:row>2</xdr:row>
      <xdr:rowOff>66675</xdr:rowOff>
    </xdr:from>
    <xdr:to>
      <xdr:col>10</xdr:col>
      <xdr:colOff>266700</xdr:colOff>
      <xdr:row>4</xdr:row>
      <xdr:rowOff>47625</xdr:rowOff>
    </xdr:to>
    <xdr:sp macro="[0]!Limpar_Filtro" textlink="">
      <xdr:nvSpPr>
        <xdr:cNvPr id="7" name="Retângulo Arredondado 6"/>
        <xdr:cNvSpPr/>
      </xdr:nvSpPr>
      <xdr:spPr>
        <a:xfrm>
          <a:off x="7715250" y="676275"/>
          <a:ext cx="1714500" cy="3619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  <xdr:twoCellAnchor>
    <xdr:from>
      <xdr:col>0</xdr:col>
      <xdr:colOff>609600</xdr:colOff>
      <xdr:row>1</xdr:row>
      <xdr:rowOff>19050</xdr:rowOff>
    </xdr:from>
    <xdr:to>
      <xdr:col>2</xdr:col>
      <xdr:colOff>209550</xdr:colOff>
      <xdr:row>3</xdr:row>
      <xdr:rowOff>0</xdr:rowOff>
    </xdr:to>
    <xdr:sp macro="[0]!Celular" textlink="">
      <xdr:nvSpPr>
        <xdr:cNvPr id="8" name="Retângulo Arredondado 7"/>
        <xdr:cNvSpPr/>
      </xdr:nvSpPr>
      <xdr:spPr>
        <a:xfrm>
          <a:off x="609600" y="438150"/>
          <a:ext cx="1409700" cy="3619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Celular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8</xdr:row>
      <xdr:rowOff>85726</xdr:rowOff>
    </xdr:from>
    <xdr:to>
      <xdr:col>5</xdr:col>
      <xdr:colOff>0</xdr:colOff>
      <xdr:row>13</xdr:row>
      <xdr:rowOff>85726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orma de Pagamen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609726"/>
              <a:ext cx="48958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13</xdr:row>
      <xdr:rowOff>171450</xdr:rowOff>
    </xdr:from>
    <xdr:to>
      <xdr:col>4</xdr:col>
      <xdr:colOff>1209674</xdr:colOff>
      <xdr:row>21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647950"/>
              <a:ext cx="49053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ou versões superiores. Não mova ou redimensione.</a:t>
              </a:r>
            </a:p>
          </xdr:txBody>
        </xdr:sp>
      </mc:Fallback>
    </mc:AlternateContent>
    <xdr:clientData/>
  </xdr:twoCellAnchor>
  <xdr:twoCellAnchor>
    <xdr:from>
      <xdr:col>5</xdr:col>
      <xdr:colOff>333375</xdr:colOff>
      <xdr:row>0</xdr:row>
      <xdr:rowOff>114300</xdr:rowOff>
    </xdr:from>
    <xdr:to>
      <xdr:col>13</xdr:col>
      <xdr:colOff>28575</xdr:colOff>
      <xdr:row>15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338137</xdr:colOff>
      <xdr:row>15</xdr:row>
      <xdr:rowOff>57150</xdr:rowOff>
    </xdr:from>
    <xdr:to>
      <xdr:col>13</xdr:col>
      <xdr:colOff>33337</xdr:colOff>
      <xdr:row>29</xdr:row>
      <xdr:rowOff>133350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4</xdr:row>
      <xdr:rowOff>9733</xdr:rowOff>
    </xdr:from>
    <xdr:to>
      <xdr:col>2</xdr:col>
      <xdr:colOff>731022</xdr:colOff>
      <xdr:row>16</xdr:row>
      <xdr:rowOff>180975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933658"/>
          <a:ext cx="3702822" cy="24572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lena/Desktop/Excel_Aulas/Semestr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Total Bimestre"/>
    </sheetNames>
    <sheetDataSet>
      <sheetData sheetId="0"/>
      <sheetData sheetId="1"/>
      <sheetData sheetId="2">
        <row r="2">
          <cell r="B2">
            <v>7760</v>
          </cell>
        </row>
        <row r="3">
          <cell r="B3">
            <v>9179</v>
          </cell>
        </row>
        <row r="4">
          <cell r="B4">
            <v>16939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ena" refreshedDate="44919.397058796298" createdVersion="6" refreshedVersion="6" minRefreshableVersion="3" recordCount="7">
  <cacheSource type="worksheet">
    <worksheetSource name="Tabela1"/>
  </cacheSource>
  <cacheFields count="5">
    <cacheField name="VENDEDOR" numFmtId="0">
      <sharedItems count="7">
        <s v="Carlos Soares"/>
        <s v="André Silva"/>
        <s v="Marcelo Costa"/>
        <s v="Adriana Fernandes"/>
        <s v="Hélio Cavalcante"/>
        <s v="Telma Sousa"/>
        <s v="Cinira Paula"/>
      </sharedItems>
    </cacheField>
    <cacheField name="ESTADO" numFmtId="0">
      <sharedItems count="7">
        <s v="BA"/>
        <s v="MG"/>
        <s v="SP"/>
        <s v="RJ"/>
        <s v="RS"/>
        <s v="CE"/>
        <s v="TO"/>
      </sharedItems>
    </cacheField>
    <cacheField name="JAN" numFmtId="44">
      <sharedItems containsSemiMixedTypes="0" containsString="0" containsNumber="1" containsInteger="1" minValue="120" maxValue="1000"/>
    </cacheField>
    <cacheField name="FEV" numFmtId="44">
      <sharedItems containsSemiMixedTypes="0" containsString="0" containsNumber="1" containsInteger="1" minValue="150" maxValue="780"/>
    </cacheField>
    <cacheField name="TOTAL" numFmtId="44">
      <sharedItems containsSemiMixedTypes="0" containsString="0" containsNumber="1" containsInteger="1" minValue="380" maxValue="1390" count="6">
        <n v="1150"/>
        <n v="690"/>
        <n v="380"/>
        <n v="1340"/>
        <n v="139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lena" refreshedDate="44919.404670254633" createdVersion="6" refreshedVersion="6" minRefreshableVersion="3" recordCount="7">
  <cacheSource type="worksheet">
    <worksheetSource ref="D1:F8" sheet="Gráfico Dinamico e Segmentação"/>
  </cacheSource>
  <cacheFields count="3">
    <cacheField name="Funcionário" numFmtId="0">
      <sharedItems count="7">
        <s v="Carlos Santos"/>
        <s v="Maria Alencar"/>
        <s v="Marta Xavier"/>
        <s v="Suzana Martins"/>
        <s v="Paulo Antunes"/>
        <s v="Sonia Carla"/>
        <s v="Pedro Luis"/>
      </sharedItems>
    </cacheField>
    <cacheField name="Valor Salário" numFmtId="44">
      <sharedItems containsSemiMixedTypes="0" containsString="0" containsNumber="1" containsInteger="1" minValue="854" maxValue="11200"/>
    </cacheField>
    <cacheField name="Tabela" numFmtId="0">
      <sharedItems count="6">
        <s v="0-1000"/>
        <s v="1000-2000"/>
        <s v="5000-6000"/>
        <s v="4000-5000"/>
        <s v="10000 +"/>
        <s v="3000-40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lena" refreshedDate="44919.417963425927" createdVersion="6" refreshedVersion="6" minRefreshableVersion="3" recordCount="4">
  <cacheSource type="worksheet">
    <worksheetSource name="Tabela2"/>
  </cacheSource>
  <cacheFields count="3">
    <cacheField name="Sistema Operacional" numFmtId="0">
      <sharedItems count="4">
        <s v="Windows 11"/>
        <s v="Windows 10"/>
        <s v="Windows 7"/>
        <s v="Windows Server 2012 R2"/>
      </sharedItems>
    </cacheField>
    <cacheField name="Versão" numFmtId="0">
      <sharedItems containsMixedTypes="1" containsNumber="1" containsInteger="1" minValue="2017" maxValue="2022" count="4">
        <n v="2022"/>
        <n v="2020"/>
        <n v="2017"/>
        <s v="2012-2014"/>
      </sharedItems>
    </cacheField>
    <cacheField name="Valor da Licença" numFmtId="44">
      <sharedItems containsSemiMixedTypes="0" containsString="0" containsNumber="1" containsInteger="1" minValue="5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uciano" refreshedDate="44933.443026967594" createdVersion="6" refreshedVersion="6" minRefreshableVersion="3" recordCount="20">
  <cacheSource type="worksheet">
    <worksheetSource ref="A1:D21" sheet="Dashboard"/>
  </cacheSource>
  <cacheFields count="4">
    <cacheField name="Data" numFmtId="14">
      <sharedItems containsSemiMixedTypes="0" containsNonDate="0" containsDate="1" containsString="0" minDate="2018-01-01T00:00:00" maxDate="2018-01-21T00:00:00" count="20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</sharedItems>
    </cacheField>
    <cacheField name="Prestador" numFmtId="0">
      <sharedItems count="4">
        <s v="Ztec Informática"/>
        <s v="WZ Informática"/>
        <s v="LTDA Sofwtare"/>
        <s v="InfoPlay Produtos"/>
      </sharedItems>
    </cacheField>
    <cacheField name="Valor" numFmtId="44">
      <sharedItems containsSemiMixedTypes="0" containsString="0" containsNumber="1" containsInteger="1" minValue="219" maxValue="1997"/>
    </cacheField>
    <cacheField name="Forma de Pagamento" numFmtId="0">
      <sharedItems count="2">
        <s v="Crédito"/>
        <s v="Débito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550"/>
    <n v="600"/>
    <x v="0"/>
  </r>
  <r>
    <x v="1"/>
    <x v="1"/>
    <n v="380"/>
    <n v="310"/>
    <x v="1"/>
  </r>
  <r>
    <x v="2"/>
    <x v="2"/>
    <n v="120"/>
    <n v="260"/>
    <x v="2"/>
  </r>
  <r>
    <x v="3"/>
    <x v="3"/>
    <n v="560"/>
    <n v="780"/>
    <x v="3"/>
  </r>
  <r>
    <x v="4"/>
    <x v="4"/>
    <n v="970"/>
    <n v="420"/>
    <x v="4"/>
  </r>
  <r>
    <x v="5"/>
    <x v="5"/>
    <n v="1000"/>
    <n v="150"/>
    <x v="0"/>
  </r>
  <r>
    <x v="6"/>
    <x v="6"/>
    <n v="300"/>
    <n v="640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n v="854"/>
    <x v="0"/>
  </r>
  <r>
    <x v="1"/>
    <n v="1713"/>
    <x v="1"/>
  </r>
  <r>
    <x v="2"/>
    <n v="5600"/>
    <x v="2"/>
  </r>
  <r>
    <x v="3"/>
    <n v="4354"/>
    <x v="3"/>
  </r>
  <r>
    <x v="4"/>
    <n v="8453"/>
    <x v="4"/>
  </r>
  <r>
    <x v="5"/>
    <n v="11200"/>
    <x v="4"/>
  </r>
  <r>
    <x v="6"/>
    <n v="3800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x v="0"/>
    <n v="500"/>
  </r>
  <r>
    <x v="1"/>
    <x v="1"/>
    <n v="550"/>
  </r>
  <r>
    <x v="2"/>
    <x v="2"/>
    <n v="750"/>
  </r>
  <r>
    <x v="3"/>
    <x v="3"/>
    <n v="15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0">
  <r>
    <x v="0"/>
    <x v="0"/>
    <n v="1869"/>
    <x v="0"/>
  </r>
  <r>
    <x v="1"/>
    <x v="1"/>
    <n v="1124"/>
    <x v="1"/>
  </r>
  <r>
    <x v="2"/>
    <x v="2"/>
    <n v="219"/>
    <x v="0"/>
  </r>
  <r>
    <x v="3"/>
    <x v="3"/>
    <n v="651"/>
    <x v="1"/>
  </r>
  <r>
    <x v="4"/>
    <x v="0"/>
    <n v="1997"/>
    <x v="0"/>
  </r>
  <r>
    <x v="5"/>
    <x v="1"/>
    <n v="1985"/>
    <x v="1"/>
  </r>
  <r>
    <x v="6"/>
    <x v="2"/>
    <n v="599"/>
    <x v="0"/>
  </r>
  <r>
    <x v="7"/>
    <x v="3"/>
    <n v="703"/>
    <x v="1"/>
  </r>
  <r>
    <x v="8"/>
    <x v="0"/>
    <n v="788"/>
    <x v="0"/>
  </r>
  <r>
    <x v="9"/>
    <x v="1"/>
    <n v="1060"/>
    <x v="1"/>
  </r>
  <r>
    <x v="10"/>
    <x v="2"/>
    <n v="300"/>
    <x v="0"/>
  </r>
  <r>
    <x v="11"/>
    <x v="3"/>
    <n v="1604"/>
    <x v="1"/>
  </r>
  <r>
    <x v="12"/>
    <x v="0"/>
    <n v="344"/>
    <x v="0"/>
  </r>
  <r>
    <x v="13"/>
    <x v="1"/>
    <n v="479"/>
    <x v="1"/>
  </r>
  <r>
    <x v="14"/>
    <x v="2"/>
    <n v="1508"/>
    <x v="0"/>
  </r>
  <r>
    <x v="15"/>
    <x v="3"/>
    <n v="1988"/>
    <x v="1"/>
  </r>
  <r>
    <x v="16"/>
    <x v="0"/>
    <n v="1874"/>
    <x v="0"/>
  </r>
  <r>
    <x v="17"/>
    <x v="1"/>
    <n v="869"/>
    <x v="1"/>
  </r>
  <r>
    <x v="18"/>
    <x v="2"/>
    <n v="1222"/>
    <x v="0"/>
  </r>
  <r>
    <x v="19"/>
    <x v="3"/>
    <n v="186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113">
      <pivotArea collapsedLevelsAreSubtotals="1" fieldPosition="0">
        <references count="1">
          <reference field="3" count="0"/>
        </references>
      </pivotArea>
    </format>
    <format dxfId="112">
      <pivotArea collapsedLevelsAreSubtotals="1" fieldPosition="0">
        <references count="1">
          <reference field="3" count="0"/>
        </references>
      </pivotArea>
    </format>
    <format dxfId="111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110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9">
      <pivotArea field="3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07">
      <pivotArea field="3" type="button" dataOnly="0" labelOnly="1" outline="0" axis="axisPage" fieldPosition="0"/>
    </format>
    <format dxfId="106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Page" fieldPosition="0"/>
    </format>
    <format dxfId="101">
      <pivotArea dataOnly="0" labelOnly="1" fieldPosition="0">
        <references count="1">
          <reference field="3" count="0"/>
        </references>
      </pivotArea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9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5">
      <pivotArea outline="0" fieldPosition="0">
        <references count="1">
          <reference field="4294967294" count="1">
            <x v="1"/>
          </reference>
        </references>
      </pivotArea>
    </format>
    <format dxfId="94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5" firstHeaderRow="1" firstDataRow="1" firstDataCol="1" rowPageCount="1" colPageCount="1"/>
  <pivotFields count="5">
    <pivotField axis="axisRow" showAll="0">
      <items count="8">
        <item x="3"/>
        <item x="1"/>
        <item x="0"/>
        <item x="6"/>
        <item x="4"/>
        <item x="2"/>
        <item x="5"/>
        <item t="default"/>
      </items>
    </pivotField>
    <pivotField axis="axisPage" showAll="0">
      <items count="8">
        <item x="0"/>
        <item x="5"/>
        <item x="1"/>
        <item x="3"/>
        <item x="4"/>
        <item x="2"/>
        <item x="6"/>
        <item t="default"/>
      </items>
    </pivotField>
    <pivotField numFmtId="44" showAll="0"/>
    <pivotField numFmtId="44" showAll="0"/>
    <pivotField dataField="1" numFmtId="44" showAll="0">
      <items count="7">
        <item x="2"/>
        <item x="1"/>
        <item x="5"/>
        <item x="0"/>
        <item x="3"/>
        <item x="4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ageFields count="1">
    <pageField fld="1" item="4" hier="-1"/>
  </pageFields>
  <dataFields count="1">
    <dataField name="Soma de TOTAL" fld="4" baseField="0" baseItem="0" numFmtId="44"/>
  </dataFields>
  <formats count="1">
    <format dxfId="9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0:B17" firstHeaderRow="1" firstDataRow="1" firstDataCol="1"/>
  <pivotFields count="3">
    <pivotField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axis="axisRow" showAll="0">
      <items count="7">
        <item x="0"/>
        <item x="4"/>
        <item x="1"/>
        <item x="5"/>
        <item x="3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Valor Salário" fld="1" subtotal="count" baseField="2" baseItem="0"/>
  </dataFields>
  <formats count="7"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outline="0" collapsedLevelsAreSubtotals="1" fieldPosition="0"/>
    </format>
    <format dxfId="63">
      <pivotArea outline="0" collapsedLevelsAreSubtotals="1" fieldPosition="0"/>
    </format>
    <format dxfId="62">
      <pivotArea outline="0" collapsedLevelsAreSubtotals="1" fieldPosition="0"/>
    </format>
    <format dxfId="61">
      <pivotArea outline="0" collapsedLevelsAreSubtotals="1" fieldPosition="0"/>
    </format>
    <format dxfId="60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4:B26" firstHeaderRow="1" firstDataRow="1" firstDataCol="1"/>
  <pivotFields count="3">
    <pivotField axis="axisRow"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showAll="0">
      <items count="7">
        <item x="0"/>
        <item h="1" x="4"/>
        <item h="1" x="1"/>
        <item h="1" x="5"/>
        <item h="1" x="3"/>
        <item h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alor Salário" fld="1" baseField="2" baseItem="0" numFmtId="44"/>
  </dataFields>
  <formats count="14">
    <format dxfId="80">
      <pivotArea outline="0" collapsedLevelsAreSubtotals="1" fieldPosition="0"/>
    </format>
    <format dxfId="79">
      <pivotArea outline="0" collapsedLevelsAreSubtotals="1" fieldPosition="0"/>
    </format>
    <format dxfId="78">
      <pivotArea outline="0" collapsedLevelsAreSubtotals="1" fieldPosition="0"/>
    </format>
    <format dxfId="77">
      <pivotArea outline="0" collapsedLevelsAreSubtotals="1" fieldPosition="0"/>
    </format>
    <format dxfId="76">
      <pivotArea outline="0" collapsedLevelsAreSubtotals="1" fieldPosition="0"/>
    </format>
    <format dxfId="75">
      <pivotArea outline="0" collapsedLevelsAreSubtotals="1" fieldPosition="0"/>
    </format>
    <format dxfId="74">
      <pivotArea outline="0" collapsedLevelsAreSubtotals="1" fieldPosition="0"/>
    </format>
    <format dxfId="73">
      <pivotArea outline="0" collapsedLevelsAreSubtotals="1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2" type="button" dataOnly="0" labelOnly="1" outline="0"/>
    </format>
    <format dxfId="69">
      <pivotArea dataOnly="0" labelOnly="1" outline="0" axis="axisValues" fieldPosition="0"/>
    </format>
    <format dxfId="68">
      <pivotArea dataOnly="0" labelOnly="1" grandRow="1" outline="0" fieldPosition="0"/>
    </format>
    <format dxfId="67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1:J6" firstHeaderRow="1" firstDataRow="1" firstDataCol="1"/>
  <pivotFields count="3">
    <pivotField axis="axisRow" showAll="0">
      <items count="5">
        <item x="1"/>
        <item x="0"/>
        <item x="2"/>
        <item x="3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dataField="1" numFmtId="4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a Licenç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 rowHeaderCaption="DashBoard">
  <location ref="D3:E6" firstHeaderRow="1" firstDataRow="1" firstDataCol="1"/>
  <pivotFields count="4"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dataField="1" numFmtId="44" showAll="0"/>
    <pivotField showAll="0">
      <items count="3">
        <item h="1" x="0"/>
        <item x="1"/>
        <item t="default"/>
      </items>
    </pivotField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Contagem de Valor" fld="2" subtotal="count" baseField="1" baseItem="0" numFmtId="1"/>
  </dataFields>
  <formats count="25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outline="0" axis="axisValues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outline="0" collapsedLevelsAreSubtotals="1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 rowHeaderCaption="DashBoard">
  <location ref="A3:B6" firstHeaderRow="1" firstDataRow="1" firstDataCol="1"/>
  <pivotFields count="4"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dataField="1" numFmtId="44" showAll="0"/>
    <pivotField showAll="0">
      <items count="3">
        <item h="1" x="0"/>
        <item x="1"/>
        <item t="default"/>
      </items>
    </pivotField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oma de Valor" fld="2" baseField="0" baseItem="0" numFmtId="44"/>
  </dataFields>
  <formats count="22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outline="0" axis="axisValues" fieldPosition="0"/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grandRow="1" outline="0" fieldPosition="0"/>
    </format>
    <format dxfId="40">
      <pivotArea dataOnly="0" labelOnly="1" outline="0" axis="axisValues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dataOnly="0" labelOnly="1" fieldPosition="0">
        <references count="1">
          <reference field="1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outline="0" collapsedLevelsAreSubtotals="1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" type="button" dataOnly="0" labelOnly="1" outline="0" axis="axisRow" fieldPosition="0"/>
    </format>
    <format dxfId="28">
      <pivotArea dataOnly="0" labelOnly="1" outline="0" axis="axisValues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abela" sourceName="Tabela">
  <pivotTables>
    <pivotTable tabId="37" name="Tabela dinâmica3"/>
  </pivotTables>
  <data>
    <tabular pivotCacheId="1">
      <items count="6">
        <i x="0" s="1"/>
        <i x="4"/>
        <i x="1"/>
        <i x="5"/>
        <i x="3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ma_de_Pagamento1" sourceName="Forma de Pagamento">
  <pivotTables>
    <pivotTable tabId="57" name="Tabela dinâmica1"/>
    <pivotTable tabId="57" name="Tabela dinâmica2"/>
  </pivotTables>
  <data>
    <tabular pivotCacheId="2">
      <items count="2">
        <i x="0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stema_Operacional" sourceName="Sistema Operacional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alor_da_Licença" sourceName="Valor da Licença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bela" cache="SegmentaçãodeDados_Tabela" caption="Tabela" columnCount="6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stema Operacional" cache="SegmentaçãodeDados_Sistema_Operacional" caption="Sistema Operacional" rowHeight="241300"/>
  <slicer name="Valor da Licença" cache="SegmentaçãodeDados_Valor_da_Licença" caption="Valor da Licenç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orma de Pagamento 1" cache="SegmentaçãodeDados_Forma_de_Pagamento1" caption="Forma de Pagamento" rowHeight="241300"/>
</slicers>
</file>

<file path=xl/tables/table1.xml><?xml version="1.0" encoding="utf-8"?>
<table xmlns="http://schemas.openxmlformats.org/spreadsheetml/2006/main" id="1" name="Tabela1" displayName="Tabela1" ref="A1:E8" totalsRowShown="0" headerRowDxfId="89" headerRowBorderDxfId="88" tableBorderDxfId="87" totalsRowBorderDxfId="86">
  <autoFilter ref="A1:E8"/>
  <tableColumns count="5">
    <tableColumn id="1" name="VENDEDOR" dataDxfId="85"/>
    <tableColumn id="2" name="ESTADO" dataDxfId="84"/>
    <tableColumn id="3" name="JAN" dataDxfId="83" dataCellStyle="Moeda"/>
    <tableColumn id="4" name="FEV" dataDxfId="82" dataCellStyle="Moeda"/>
    <tableColumn id="5" name="TOTAL" dataDxfId="81">
      <calculatedColumnFormula>SUM(C2:D2)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5" totalsRowShown="0" headerRowDxfId="59" dataDxfId="57" headerRowBorderDxfId="58" tableBorderDxfId="56" totalsRowBorderDxfId="55">
  <autoFilter ref="A1:C5"/>
  <tableColumns count="3">
    <tableColumn id="1" name="Sistema Operacional" dataDxfId="54"/>
    <tableColumn id="2" name="Versão" dataDxfId="53"/>
    <tableColumn id="3" name="Valor da Licença" dataDxfId="52" dataCellStyle="Moeda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E13" totalsRowShown="0">
  <autoFilter ref="A1:E13"/>
  <tableColumns count="5">
    <tableColumn id="1" name="Mês" dataDxfId="51"/>
    <tableColumn id="2" name="Valores"/>
    <tableColumn id="3" name="Previsão(Valores)" dataDxfId="50">
      <calculatedColumnFormula>_xlfn.FORECAST.ETS(A2,$B$2:$B$8,$A$2:$A$8,1,1)</calculatedColumnFormula>
    </tableColumn>
    <tableColumn id="4" name="Limite de Confiança Inferior(Valores)" dataDxfId="49">
      <calculatedColumnFormula>C2-_xlfn.FORECAST.ETS.CONFINT(A2,$B$2:$B$8,$A$2:$A$8,0.95,1,1)</calculatedColumnFormula>
    </tableColumn>
    <tableColumn id="5" name="Limite de Confiança Superior(Valores)" dataDxfId="48">
      <calculatedColumnFormula>C2+_xlfn.FORECAST.ETS.CONFINT(A2,$B$2:$B$8,$A$2:$A$8,0.95,1,1)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G1:H8" totalsRowShown="0">
  <autoFilter ref="G1:H8"/>
  <tableColumns count="2">
    <tableColumn id="1" name="Estatística"/>
    <tableColumn id="2" name="Valor" dataDxfId="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a" sourceName="Data">
  <pivotTables>
    <pivotTable tabId="57" name="Tabela dinâmica1"/>
    <pivotTable tabId="57" name="Tabela dinâmica2"/>
  </pivotTables>
  <state minimalRefreshVersion="6" lastRefreshVersion="6" pivotCacheId="2" filterType="unknown">
    <bounds startDate="2018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" cache="NativeTimeline_Data" caption="Data" level="3" selectionLevel="3" scrollPosition="2018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mments" Target="../comments8.xml"/><Relationship Id="rId5" Type="http://schemas.microsoft.com/office/2007/relationships/slicer" Target="../slicers/slicer1.xml"/><Relationship Id="rId4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4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microsoft.com/office/2011/relationships/timeline" Target="../timelines/timeline1.xml"/><Relationship Id="rId4" Type="http://schemas.microsoft.com/office/2007/relationships/slicer" Target="../slicers/slicer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264" t="s">
        <v>6</v>
      </c>
      <c r="I1" s="265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266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266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130" priority="2" operator="equal">
      <formula>"reprovado"</formula>
    </cfRule>
    <cfRule type="cellIs" dxfId="129" priority="3" operator="equal">
      <formula>"reprovado"</formula>
    </cfRule>
    <cfRule type="cellIs" dxfId="128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270" t="s">
        <v>20</v>
      </c>
      <c r="B1" s="270"/>
      <c r="C1" s="270"/>
      <c r="D1" s="270"/>
      <c r="E1" s="270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269" t="s">
        <v>21</v>
      </c>
      <c r="B2" s="269"/>
      <c r="C2" s="269"/>
      <c r="D2" s="269"/>
      <c r="E2" s="269"/>
      <c r="F2" s="12"/>
      <c r="G2" s="271" t="s">
        <v>36</v>
      </c>
      <c r="H2" s="271"/>
      <c r="I2" s="271"/>
      <c r="J2" s="273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273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273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273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273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273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268" t="s">
        <v>44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272" t="s">
        <v>52</v>
      </c>
      <c r="I14" s="272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267">
        <f>VLOOKUP(F15,Sobremesas,3)</f>
        <v>8.9</v>
      </c>
      <c r="I15" s="267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274" t="s">
        <v>54</v>
      </c>
      <c r="B1" s="274"/>
      <c r="C1" s="274"/>
      <c r="D1" s="274"/>
      <c r="E1" s="274"/>
      <c r="F1" s="274"/>
      <c r="G1" s="274"/>
      <c r="H1" s="274"/>
    </row>
    <row r="2" spans="1:10" x14ac:dyDescent="0.25">
      <c r="D2" s="277" t="s">
        <v>104</v>
      </c>
      <c r="E2" s="277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44933.536510763886</v>
      </c>
    </row>
    <row r="4" spans="1:10" x14ac:dyDescent="0.25">
      <c r="A4" s="32" t="s">
        <v>56</v>
      </c>
      <c r="B4" s="276" t="str">
        <f>VLOOKUP(B3,Tab_Clientes,2)</f>
        <v>Rodrigo</v>
      </c>
      <c r="C4" s="276"/>
      <c r="D4" s="276"/>
      <c r="E4" s="276"/>
    </row>
    <row r="5" spans="1:10" x14ac:dyDescent="0.25">
      <c r="A5" s="30" t="s">
        <v>57</v>
      </c>
      <c r="B5" s="275" t="str">
        <f>VLOOKUP(B3,Tab_Clientes,3)</f>
        <v>R. Rosa</v>
      </c>
      <c r="C5" s="275"/>
      <c r="D5" s="275"/>
      <c r="E5" s="275"/>
      <c r="F5" s="275"/>
      <c r="G5" s="275"/>
      <c r="H5" s="275"/>
    </row>
    <row r="6" spans="1:10" x14ac:dyDescent="0.25">
      <c r="A6" s="32" t="s">
        <v>58</v>
      </c>
      <c r="B6" s="276" t="str">
        <f>VLOOKUP(B3,Tab_Clientes,4)</f>
        <v>(51) 999792467</v>
      </c>
      <c r="C6" s="276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279" t="s">
        <v>133</v>
      </c>
      <c r="B27" s="279"/>
      <c r="C27" s="6">
        <f>COUNTIF(B22:B25,"Alimenticio")</f>
        <v>2</v>
      </c>
    </row>
    <row r="28" spans="1:3" x14ac:dyDescent="0.25">
      <c r="A28" s="279" t="s">
        <v>134</v>
      </c>
      <c r="B28" s="279"/>
      <c r="C28" s="6">
        <f>COUNTIF(B22:B25,"Higiene")</f>
        <v>1</v>
      </c>
    </row>
    <row r="30" spans="1:3" x14ac:dyDescent="0.25">
      <c r="A30" s="280" t="s">
        <v>135</v>
      </c>
      <c r="B30" s="280"/>
      <c r="C30" s="26">
        <f>SUMIF(B22:B25,"Alimenticio",C22:C25)</f>
        <v>8733</v>
      </c>
    </row>
    <row r="31" spans="1:3" x14ac:dyDescent="0.25">
      <c r="A31" s="280" t="s">
        <v>136</v>
      </c>
      <c r="B31" s="280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281" t="s">
        <v>170</v>
      </c>
      <c r="B49" s="281"/>
      <c r="C49" s="281"/>
      <c r="D49" s="281"/>
      <c r="E49" s="281"/>
      <c r="F49" s="281"/>
      <c r="G49" s="281"/>
      <c r="H49" s="281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278" t="s">
        <v>167</v>
      </c>
      <c r="B62" s="278"/>
      <c r="C62" s="51">
        <f>SUMIF(F51:F59,"Carrefour",H51:H59)</f>
        <v>42.6</v>
      </c>
    </row>
    <row r="63" spans="1:8" x14ac:dyDescent="0.25">
      <c r="A63" s="278" t="s">
        <v>168</v>
      </c>
      <c r="B63" s="278"/>
      <c r="C63" s="51">
        <f>SUMIF(F51:F59,"Barateiro",H51:H59)</f>
        <v>71.649999999999991</v>
      </c>
    </row>
    <row r="64" spans="1:8" x14ac:dyDescent="0.25">
      <c r="A64" s="278" t="s">
        <v>169</v>
      </c>
      <c r="B64" s="278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127" priority="1" operator="equal">
      <formula>"contratar"</formula>
    </cfRule>
    <cfRule type="cellIs" dxfId="126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284" t="s">
        <v>171</v>
      </c>
      <c r="B1" s="284"/>
      <c r="C1" s="284"/>
      <c r="D1" s="284"/>
      <c r="E1" s="284"/>
      <c r="F1" s="284"/>
      <c r="G1" s="284"/>
    </row>
    <row r="2" spans="1:8" x14ac:dyDescent="0.25">
      <c r="A2" s="285" t="s">
        <v>172</v>
      </c>
      <c r="B2" s="285"/>
      <c r="C2" s="285"/>
      <c r="D2" s="285"/>
      <c r="E2" s="285"/>
      <c r="F2" s="285"/>
      <c r="G2" s="285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286" t="s">
        <v>178</v>
      </c>
      <c r="C12" s="286"/>
    </row>
    <row r="13" spans="1:8" x14ac:dyDescent="0.25">
      <c r="A13" s="6">
        <v>0</v>
      </c>
      <c r="B13" s="282" t="s">
        <v>187</v>
      </c>
      <c r="C13" s="282"/>
    </row>
    <row r="14" spans="1:8" x14ac:dyDescent="0.25">
      <c r="A14" s="6">
        <v>19</v>
      </c>
      <c r="B14" s="282" t="s">
        <v>188</v>
      </c>
      <c r="C14" s="282"/>
    </row>
    <row r="15" spans="1:8" x14ac:dyDescent="0.25">
      <c r="A15" s="6">
        <v>25</v>
      </c>
      <c r="B15" s="282" t="s">
        <v>189</v>
      </c>
      <c r="C15" s="282"/>
    </row>
    <row r="16" spans="1:8" x14ac:dyDescent="0.25">
      <c r="A16" s="6">
        <v>30</v>
      </c>
      <c r="B16" s="282" t="s">
        <v>190</v>
      </c>
      <c r="C16" s="282"/>
    </row>
    <row r="17" spans="1:5" x14ac:dyDescent="0.25">
      <c r="A17" s="6">
        <v>40</v>
      </c>
      <c r="B17" s="282" t="s">
        <v>191</v>
      </c>
      <c r="C17" s="282"/>
    </row>
    <row r="20" spans="1:5" ht="31.5" customHeight="1" x14ac:dyDescent="0.25">
      <c r="A20" s="283" t="s">
        <v>192</v>
      </c>
      <c r="B20" s="283"/>
      <c r="C20" s="283"/>
      <c r="D20" s="283"/>
      <c r="E20" s="283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125" priority="1" operator="equal">
      <formula>"não"</formula>
    </cfRule>
    <cfRule type="cellIs" dxfId="124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289" t="s">
        <v>203</v>
      </c>
      <c r="B1" s="289"/>
      <c r="C1" s="289"/>
      <c r="D1" s="289"/>
      <c r="E1" s="289"/>
      <c r="F1" s="289"/>
    </row>
    <row r="2" spans="1:6" x14ac:dyDescent="0.25">
      <c r="A2" s="287"/>
      <c r="B2" s="287"/>
    </row>
    <row r="3" spans="1:6" x14ac:dyDescent="0.25">
      <c r="A3" s="287"/>
      <c r="B3" s="287"/>
      <c r="C3" s="288" t="s">
        <v>209</v>
      </c>
      <c r="D3" s="288"/>
    </row>
    <row r="4" spans="1:6" x14ac:dyDescent="0.25">
      <c r="A4" s="287"/>
      <c r="B4" s="287"/>
      <c r="C4" s="70" t="s">
        <v>210</v>
      </c>
      <c r="D4" s="70" t="s">
        <v>211</v>
      </c>
    </row>
    <row r="5" spans="1:6" x14ac:dyDescent="0.25">
      <c r="A5" s="287"/>
      <c r="B5" s="287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290" t="s">
        <v>217</v>
      </c>
      <c r="B19" s="290"/>
      <c r="C19" s="72">
        <f>SUMIF(C8:C17,"C",D8:D17)</f>
        <v>4100</v>
      </c>
    </row>
    <row r="20" spans="1:10" x14ac:dyDescent="0.25">
      <c r="A20" s="290" t="s">
        <v>218</v>
      </c>
      <c r="B20" s="290"/>
      <c r="C20" s="72">
        <f>SUMIF(C8:C17,"D",D8:D17)</f>
        <v>3169</v>
      </c>
    </row>
    <row r="22" spans="1:10" ht="19.5" customHeight="1" x14ac:dyDescent="0.25">
      <c r="A22" s="291" t="s">
        <v>219</v>
      </c>
      <c r="B22" s="291"/>
      <c r="C22" s="291"/>
      <c r="D22" s="291"/>
      <c r="E22" s="291"/>
      <c r="F22" s="291"/>
      <c r="G22" s="293"/>
      <c r="H22" s="293"/>
      <c r="I22" s="293"/>
      <c r="J22" s="293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293"/>
      <c r="H23" s="293"/>
      <c r="I23" s="293"/>
      <c r="J23" s="293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293"/>
      <c r="H24" s="293"/>
      <c r="I24" s="293"/>
      <c r="J24" s="293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293"/>
      <c r="H25" s="293"/>
      <c r="I25" s="293"/>
      <c r="J25" s="293"/>
    </row>
    <row r="27" spans="1:10" ht="23.25" customHeight="1" x14ac:dyDescent="0.25">
      <c r="A27" s="294" t="s">
        <v>226</v>
      </c>
      <c r="B27" s="294"/>
      <c r="C27" s="294"/>
      <c r="D27" s="294"/>
      <c r="E27" s="294"/>
      <c r="F27" s="294"/>
      <c r="G27" s="294"/>
      <c r="H27" s="294"/>
      <c r="I27" s="294"/>
      <c r="J27" s="294"/>
    </row>
    <row r="28" spans="1:10" x14ac:dyDescent="0.25">
      <c r="A28" s="292" t="s">
        <v>227</v>
      </c>
      <c r="B28" s="292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295"/>
      <c r="I30" s="295"/>
      <c r="J30" s="295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295"/>
      <c r="I31" s="295"/>
      <c r="J31" s="295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295"/>
      <c r="I32" s="295"/>
      <c r="J32" s="295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295"/>
      <c r="I33" s="295"/>
      <c r="J33" s="295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295"/>
      <c r="I34" s="295"/>
      <c r="J34" s="295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295"/>
      <c r="I35" s="295"/>
      <c r="J35" s="295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295"/>
      <c r="I36" s="295"/>
      <c r="J36" s="295"/>
    </row>
  </sheetData>
  <mergeCells count="10">
    <mergeCell ref="A22:F22"/>
    <mergeCell ref="A28:B28"/>
    <mergeCell ref="G22:J25"/>
    <mergeCell ref="A27:J27"/>
    <mergeCell ref="H30:J36"/>
    <mergeCell ref="A2:B5"/>
    <mergeCell ref="C3:D3"/>
    <mergeCell ref="A1:F1"/>
    <mergeCell ref="A19:B19"/>
    <mergeCell ref="A20:B20"/>
  </mergeCells>
  <conditionalFormatting sqref="E9:E17">
    <cfRule type="cellIs" dxfId="123" priority="4" operator="lessThan">
      <formula>0</formula>
    </cfRule>
  </conditionalFormatting>
  <conditionalFormatting sqref="F8:F17">
    <cfRule type="cellIs" dxfId="122" priority="1" operator="equal">
      <formula>"tudo ok"</formula>
    </cfRule>
    <cfRule type="cellIs" dxfId="121" priority="2" operator="equal">
      <formula>"acima do máximo"</formula>
    </cfRule>
    <cfRule type="cellIs" dxfId="120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296" t="s">
        <v>237</v>
      </c>
      <c r="B1" s="296"/>
      <c r="C1" s="296"/>
      <c r="D1" s="296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297" t="s">
        <v>256</v>
      </c>
      <c r="B8" s="297"/>
      <c r="C8" s="297"/>
      <c r="D8" s="297"/>
      <c r="E8" s="297"/>
      <c r="F8" s="297"/>
      <c r="G8" s="297"/>
      <c r="H8" s="297"/>
      <c r="I8" s="297"/>
      <c r="J8" s="297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316" t="s">
        <v>283</v>
      </c>
      <c r="E1" s="316"/>
      <c r="F1" s="316"/>
      <c r="G1" s="316"/>
      <c r="H1" s="316"/>
      <c r="I1" s="316"/>
      <c r="J1" s="316"/>
    </row>
    <row r="2" spans="1:12" x14ac:dyDescent="0.25">
      <c r="A2" s="318"/>
      <c r="B2" s="318"/>
      <c r="C2" s="318"/>
      <c r="D2" s="318"/>
      <c r="E2" s="318"/>
      <c r="F2" s="318"/>
      <c r="G2" s="318"/>
      <c r="H2" s="318"/>
      <c r="I2" s="318"/>
      <c r="J2" s="318"/>
    </row>
    <row r="3" spans="1:12" x14ac:dyDescent="0.25">
      <c r="A3" s="318"/>
      <c r="B3" s="318"/>
      <c r="C3" s="318"/>
      <c r="D3" s="318"/>
      <c r="E3" s="318"/>
      <c r="F3" s="318"/>
      <c r="G3" s="318"/>
      <c r="H3" s="318"/>
      <c r="I3" s="318"/>
      <c r="J3" s="318"/>
    </row>
    <row r="4" spans="1:12" x14ac:dyDescent="0.25">
      <c r="A4" s="318"/>
      <c r="B4" s="318"/>
      <c r="C4" s="318"/>
      <c r="D4" s="318"/>
      <c r="E4" s="318"/>
      <c r="F4" s="318"/>
      <c r="G4" s="318"/>
      <c r="H4" s="318"/>
      <c r="I4" s="318"/>
      <c r="J4" s="318"/>
    </row>
    <row r="5" spans="1:12" x14ac:dyDescent="0.25">
      <c r="A5" s="318"/>
      <c r="B5" s="318"/>
      <c r="C5" s="318"/>
      <c r="D5" s="318"/>
      <c r="E5" s="318"/>
      <c r="F5" s="318"/>
      <c r="G5" s="318"/>
      <c r="H5" s="318"/>
      <c r="I5" s="318"/>
      <c r="J5" s="318"/>
    </row>
    <row r="6" spans="1:12" x14ac:dyDescent="0.25">
      <c r="A6" s="318"/>
      <c r="B6" s="318"/>
      <c r="C6" s="318"/>
      <c r="D6" s="318"/>
      <c r="E6" s="318"/>
      <c r="F6" s="318"/>
      <c r="G6" s="318"/>
      <c r="H6" s="318"/>
      <c r="I6" s="318"/>
      <c r="J6" s="318"/>
    </row>
    <row r="7" spans="1:12" x14ac:dyDescent="0.25">
      <c r="A7" s="319"/>
      <c r="B7" s="319"/>
      <c r="C7" s="319"/>
      <c r="D7" s="319"/>
      <c r="E7" s="319"/>
      <c r="F7" s="319"/>
      <c r="G7" s="319"/>
      <c r="H7" s="319"/>
      <c r="I7" s="319"/>
      <c r="J7" s="319"/>
    </row>
    <row r="8" spans="1:12" ht="27.75" customHeight="1" x14ac:dyDescent="0.25">
      <c r="A8" s="317" t="s">
        <v>258</v>
      </c>
      <c r="B8" s="317"/>
      <c r="C8" s="317"/>
      <c r="D8" s="317"/>
      <c r="E8" s="317"/>
      <c r="F8" s="317"/>
      <c r="G8" s="317"/>
      <c r="H8" s="317"/>
      <c r="I8" s="317"/>
      <c r="J8" s="317"/>
    </row>
    <row r="9" spans="1:12" x14ac:dyDescent="0.25">
      <c r="A9" s="310" t="s">
        <v>259</v>
      </c>
      <c r="B9" s="311"/>
      <c r="C9" s="312"/>
      <c r="D9" s="310" t="s">
        <v>260</v>
      </c>
      <c r="E9" s="311"/>
      <c r="F9" s="311"/>
      <c r="G9" s="312"/>
      <c r="H9" s="310" t="s">
        <v>261</v>
      </c>
      <c r="I9" s="311"/>
      <c r="J9" s="312"/>
    </row>
    <row r="10" spans="1:12" x14ac:dyDescent="0.25">
      <c r="A10" s="313" t="str">
        <f>CONCATENATE(C14," ",C15," ",C16)</f>
        <v xml:space="preserve">  Hardware</v>
      </c>
      <c r="B10" s="314"/>
      <c r="C10" s="315"/>
      <c r="D10" s="313" t="str">
        <f>CONCATENATE(H14," ",H15," ",H16)</f>
        <v xml:space="preserve"> Tarde </v>
      </c>
      <c r="E10" s="314"/>
      <c r="F10" s="314"/>
      <c r="G10" s="315"/>
      <c r="H10" s="313" t="str">
        <f>CONCATENATE(L14," ",L15)</f>
        <v xml:space="preserve"> Parcelado</v>
      </c>
      <c r="I10" s="314"/>
      <c r="J10" s="315"/>
    </row>
    <row r="13" spans="1:12" x14ac:dyDescent="0.25">
      <c r="A13" s="310" t="s">
        <v>262</v>
      </c>
      <c r="B13" s="311"/>
      <c r="C13" s="312"/>
      <c r="D13" s="310" t="s">
        <v>263</v>
      </c>
      <c r="E13" s="311"/>
      <c r="F13" s="311"/>
      <c r="G13" s="311"/>
      <c r="H13" s="312"/>
      <c r="I13" s="309" t="s">
        <v>264</v>
      </c>
      <c r="J13" s="309"/>
      <c r="K13" s="309"/>
      <c r="L13" s="309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298" t="s">
        <v>274</v>
      </c>
      <c r="E14" s="298"/>
      <c r="F14" s="298"/>
      <c r="G14" s="84" t="b">
        <v>0</v>
      </c>
      <c r="H14" s="84" t="str">
        <f>IF(G14=TRUE,"Manhã","")</f>
        <v/>
      </c>
      <c r="I14" s="300" t="s">
        <v>270</v>
      </c>
      <c r="J14" s="298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299" t="s">
        <v>268</v>
      </c>
      <c r="E15" s="299"/>
      <c r="F15" s="299"/>
      <c r="G15" s="5" t="b">
        <v>1</v>
      </c>
      <c r="H15" s="5" t="str">
        <f>IF(G15=TRUE,"Tarde","")</f>
        <v>Tarde</v>
      </c>
      <c r="I15" s="301" t="s">
        <v>271</v>
      </c>
      <c r="J15" s="299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299" t="s">
        <v>269</v>
      </c>
      <c r="E16" s="299"/>
      <c r="F16" s="299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302" t="s">
        <v>79</v>
      </c>
      <c r="B18" s="303"/>
      <c r="C18" s="304"/>
      <c r="D18" s="308" t="s">
        <v>259</v>
      </c>
      <c r="E18" s="308"/>
      <c r="F18" s="308"/>
      <c r="G18" s="302" t="s">
        <v>260</v>
      </c>
      <c r="H18" s="303"/>
      <c r="I18" s="304"/>
      <c r="J18" s="308" t="s">
        <v>272</v>
      </c>
      <c r="K18" s="308"/>
    </row>
    <row r="19" spans="1:12" x14ac:dyDescent="0.25">
      <c r="A19" s="293" t="str">
        <f>D1</f>
        <v>JOCELAINE GRASSI CONSTANTE</v>
      </c>
      <c r="B19" s="293"/>
      <c r="C19" s="293"/>
      <c r="D19" s="305" t="str">
        <f>A10</f>
        <v xml:space="preserve">  Hardware</v>
      </c>
      <c r="E19" s="306"/>
      <c r="F19" s="307"/>
      <c r="G19" s="305" t="str">
        <f>D10</f>
        <v xml:space="preserve"> Tarde </v>
      </c>
      <c r="H19" s="306"/>
      <c r="I19" s="307"/>
      <c r="J19" s="305" t="str">
        <f>H10</f>
        <v xml:space="preserve"> Parcelado</v>
      </c>
      <c r="K19" s="307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:J1"/>
    <mergeCell ref="A8:J8"/>
    <mergeCell ref="H9:J9"/>
    <mergeCell ref="D9:G9"/>
    <mergeCell ref="A10:C10"/>
    <mergeCell ref="D10:G10"/>
    <mergeCell ref="A2:J7"/>
    <mergeCell ref="I13:L13"/>
    <mergeCell ref="A13:C13"/>
    <mergeCell ref="D13:H13"/>
    <mergeCell ref="A9:C9"/>
    <mergeCell ref="H10:J10"/>
    <mergeCell ref="A18:C18"/>
    <mergeCell ref="A19:C19"/>
    <mergeCell ref="D19:F19"/>
    <mergeCell ref="G19:I19"/>
    <mergeCell ref="J19:K19"/>
    <mergeCell ref="D18:F18"/>
    <mergeCell ref="G18:I18"/>
    <mergeCell ref="J18:K18"/>
    <mergeCell ref="D14:F14"/>
    <mergeCell ref="D15:F15"/>
    <mergeCell ref="D16:F16"/>
    <mergeCell ref="I14:J14"/>
    <mergeCell ref="I15:J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322" t="s">
        <v>79</v>
      </c>
      <c r="B1" s="322"/>
      <c r="C1" s="322"/>
      <c r="D1" s="320" t="s">
        <v>259</v>
      </c>
      <c r="E1" s="321"/>
      <c r="F1" s="323"/>
      <c r="G1" s="320" t="s">
        <v>260</v>
      </c>
      <c r="H1" s="321"/>
      <c r="I1" s="323"/>
      <c r="J1" s="320" t="s">
        <v>261</v>
      </c>
      <c r="K1" s="321"/>
    </row>
    <row r="3" spans="1:11" x14ac:dyDescent="0.25">
      <c r="A3" s="85"/>
      <c r="B3" s="86"/>
      <c r="C3" s="86"/>
      <c r="D3" s="324" t="s">
        <v>275</v>
      </c>
      <c r="E3" s="324"/>
      <c r="F3" s="324"/>
      <c r="G3" s="293" t="s">
        <v>277</v>
      </c>
      <c r="H3" s="293"/>
      <c r="I3" s="293"/>
      <c r="J3" s="293" t="s">
        <v>278</v>
      </c>
      <c r="K3" s="293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325">
        <f>DSUM(A1:C10,C1,E1:G2)</f>
        <v>975</v>
      </c>
      <c r="G4" s="326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119" priority="1" operator="equal">
      <formula>"teclado"</formula>
    </cfRule>
    <cfRule type="cellIs" dxfId="118" priority="2" operator="equal">
      <formula>"fonte"</formula>
    </cfRule>
    <cfRule type="cellIs" dxfId="117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327" t="s">
        <v>345</v>
      </c>
      <c r="G2" s="327"/>
      <c r="H2" s="327"/>
      <c r="I2" s="327"/>
    </row>
    <row r="3" spans="1:9" x14ac:dyDescent="0.25">
      <c r="F3" s="83" t="s">
        <v>79</v>
      </c>
      <c r="G3" s="293" t="str">
        <f>DGET(Dados,A4,A1:C2)</f>
        <v>Marta Fernandes</v>
      </c>
      <c r="H3" s="293"/>
      <c r="I3" s="293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282" t="str">
        <f>DGET(Dados,B4,A1:C2)</f>
        <v>Professora</v>
      </c>
      <c r="H4" s="282"/>
      <c r="I4" s="282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328">
        <f>DGET(Dados,C4,A1:C2)</f>
        <v>1300</v>
      </c>
      <c r="H5" s="328"/>
      <c r="I5" s="328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329" t="s">
        <v>359</v>
      </c>
      <c r="B16" s="329"/>
      <c r="C16" s="329"/>
      <c r="D16" s="329"/>
      <c r="E16" s="329"/>
      <c r="F16" s="329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44933</v>
      </c>
      <c r="B18" s="95">
        <f ca="1">NOW()</f>
        <v>44933.536510763886</v>
      </c>
      <c r="C18" s="52">
        <f ca="1">DAY(B18)</f>
        <v>7</v>
      </c>
      <c r="D18" s="52">
        <f ca="1">MONTH(B18)</f>
        <v>1</v>
      </c>
      <c r="E18" s="52">
        <f ca="1">YEAR(B18)</f>
        <v>2023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12</v>
      </c>
      <c r="C23" s="52">
        <f ca="1">MINUTE(B18)</f>
        <v>52</v>
      </c>
      <c r="D23" s="52">
        <f ca="1">SECOND(B18)</f>
        <v>35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330" t="s">
        <v>371</v>
      </c>
      <c r="B1" s="330"/>
      <c r="C1" s="330"/>
      <c r="D1" s="330"/>
      <c r="E1" s="330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331" t="s">
        <v>397</v>
      </c>
      <c r="B11" s="331"/>
      <c r="C11" s="331"/>
      <c r="D11" s="331"/>
      <c r="E11" s="331"/>
      <c r="F11" s="331"/>
      <c r="G11" s="331"/>
      <c r="H11" s="331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332" t="s">
        <v>401</v>
      </c>
      <c r="B18" s="332"/>
      <c r="C18" s="332"/>
      <c r="E18" s="333" t="s">
        <v>404</v>
      </c>
      <c r="F18" s="333"/>
      <c r="G18" s="333"/>
    </row>
    <row r="19" spans="1:7" x14ac:dyDescent="0.25">
      <c r="A19" s="104" t="s">
        <v>106</v>
      </c>
      <c r="B19" s="104" t="s">
        <v>402</v>
      </c>
      <c r="C19" s="104" t="s">
        <v>207</v>
      </c>
      <c r="E19" s="333"/>
      <c r="F19" s="333"/>
      <c r="G19" s="333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333"/>
      <c r="F20" s="333"/>
      <c r="G20" s="333"/>
    </row>
    <row r="21" spans="1:7" x14ac:dyDescent="0.25">
      <c r="E21" s="333"/>
      <c r="F21" s="333"/>
      <c r="G21" s="333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337" t="s">
        <v>408</v>
      </c>
      <c r="B14" s="337"/>
      <c r="C14" s="116"/>
      <c r="D14" s="116"/>
    </row>
    <row r="15" spans="1:7" x14ac:dyDescent="0.25">
      <c r="A15" s="337" t="s">
        <v>409</v>
      </c>
      <c r="B15" s="337"/>
      <c r="C15" s="337"/>
      <c r="D15" s="337"/>
    </row>
    <row r="16" spans="1:7" x14ac:dyDescent="0.25">
      <c r="A16" s="337" t="s">
        <v>410</v>
      </c>
      <c r="B16" s="337"/>
    </row>
    <row r="17" spans="1:7" x14ac:dyDescent="0.25">
      <c r="A17" s="337" t="s">
        <v>411</v>
      </c>
      <c r="B17" s="337"/>
    </row>
    <row r="19" spans="1:7" x14ac:dyDescent="0.25">
      <c r="A19" s="335" t="s">
        <v>412</v>
      </c>
      <c r="B19" s="335"/>
      <c r="C19" s="335"/>
      <c r="D19" s="335"/>
      <c r="E19" s="335"/>
      <c r="F19" s="335"/>
      <c r="G19" s="335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336" t="s">
        <v>414</v>
      </c>
      <c r="G20" s="336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334" t="s">
        <v>416</v>
      </c>
      <c r="B29" s="334"/>
      <c r="C29" s="72">
        <f t="array" ref="C29">SUM(B21:B26*C21:C26)</f>
        <v>14650</v>
      </c>
    </row>
    <row r="31" spans="1:7" x14ac:dyDescent="0.25">
      <c r="A31" s="334" t="s">
        <v>417</v>
      </c>
      <c r="B31" s="334"/>
      <c r="C31" s="334"/>
      <c r="D31" s="334"/>
      <c r="E31" s="334"/>
      <c r="F31" s="334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116" priority="5" operator="equal">
      <formula>$D$3</formula>
    </cfRule>
  </conditionalFormatting>
  <conditionalFormatting sqref="D3:D12">
    <cfRule type="cellIs" dxfId="115" priority="1" operator="equal">
      <formula>"Não há cadastro nessa pesquisa"</formula>
    </cfRule>
    <cfRule type="cellIs" dxfId="114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338" t="s">
        <v>440</v>
      </c>
      <c r="H2" s="338"/>
      <c r="I2" s="338"/>
      <c r="J2" s="338"/>
      <c r="K2" s="338"/>
      <c r="L2" s="338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338"/>
      <c r="H3" s="338"/>
      <c r="I3" s="338"/>
      <c r="J3" s="338"/>
      <c r="K3" s="338"/>
      <c r="L3" s="338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338"/>
      <c r="H4" s="338"/>
      <c r="I4" s="338"/>
      <c r="J4" s="338"/>
      <c r="K4" s="338"/>
      <c r="L4" s="338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339" t="s">
        <v>458</v>
      </c>
      <c r="B11" s="339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340" t="s">
        <v>465</v>
      </c>
      <c r="C1" s="340"/>
      <c r="D1" s="340"/>
      <c r="E1" s="340"/>
      <c r="F1" s="340"/>
      <c r="G1" s="340"/>
      <c r="H1" s="340"/>
      <c r="I1" s="340" t="s">
        <v>479</v>
      </c>
      <c r="J1" s="340"/>
      <c r="K1" s="340"/>
      <c r="L1" s="340"/>
      <c r="M1" s="340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288" t="s">
        <v>481</v>
      </c>
      <c r="B11" s="288"/>
      <c r="D11" s="288" t="s">
        <v>479</v>
      </c>
      <c r="E11" s="288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93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workbookViewId="0">
      <selection activeCell="B11" sqref="B11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341" t="s">
        <v>501</v>
      </c>
      <c r="B1" s="341"/>
      <c r="C1" s="341"/>
      <c r="D1" s="341"/>
      <c r="E1" s="341"/>
    </row>
    <row r="2" spans="1:5" ht="61.5" customHeight="1" x14ac:dyDescent="0.25">
      <c r="A2" s="341"/>
      <c r="B2" s="341"/>
      <c r="C2" s="341"/>
      <c r="D2" s="341"/>
      <c r="E2" s="341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250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500</v>
      </c>
    </row>
    <row r="5" spans="1:5" ht="18" customHeight="1" x14ac:dyDescent="0.25">
      <c r="A5" s="147" t="s">
        <v>511</v>
      </c>
      <c r="B5" s="47">
        <f>Entradas!D3</f>
        <v>250</v>
      </c>
      <c r="D5" s="146" t="s">
        <v>505</v>
      </c>
      <c r="E5" s="152">
        <f>E4-Saidas!C3</f>
        <v>455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44933.536510763886</v>
      </c>
      <c r="B10" s="146" t="s">
        <v>509</v>
      </c>
      <c r="C10" s="342" t="str">
        <f>IF(E5&lt;0,"Caixa Negativado","Caixa Positivo")</f>
        <v>Caixa Positivo</v>
      </c>
      <c r="D10" s="342"/>
    </row>
    <row r="11" spans="1:5" x14ac:dyDescent="0.25">
      <c r="A11" s="147" t="s">
        <v>510</v>
      </c>
      <c r="B11" s="90">
        <f>Saidas!C3</f>
        <v>45</v>
      </c>
      <c r="C11" s="343">
        <f ca="1">NOW()</f>
        <v>44933.536510763886</v>
      </c>
      <c r="D11" s="343"/>
    </row>
  </sheetData>
  <mergeCells count="3">
    <mergeCell ref="A1:E2"/>
    <mergeCell ref="C10:D10"/>
    <mergeCell ref="C11:D11"/>
  </mergeCells>
  <conditionalFormatting sqref="E5">
    <cfRule type="cellIs" dxfId="92" priority="1" operator="lessThan">
      <formula>0</formula>
    </cfRule>
    <cfRule type="cellIs" dxfId="9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341" t="s">
        <v>506</v>
      </c>
      <c r="B1" s="341"/>
      <c r="C1" s="341"/>
      <c r="D1" s="341"/>
      <c r="E1" s="341"/>
    </row>
    <row r="2" spans="1:5" x14ac:dyDescent="0.25">
      <c r="A2" s="341"/>
      <c r="B2" s="341"/>
      <c r="C2" s="341"/>
      <c r="D2" s="341"/>
      <c r="E2" s="341"/>
    </row>
    <row r="3" spans="1:5" ht="29.25" customHeight="1" x14ac:dyDescent="0.25">
      <c r="C3" s="151" t="s">
        <v>500</v>
      </c>
      <c r="D3" s="152">
        <f>SUM(B5:B24)</f>
        <v>250</v>
      </c>
    </row>
    <row r="4" spans="1:5" x14ac:dyDescent="0.25">
      <c r="A4" s="60" t="s">
        <v>499</v>
      </c>
      <c r="B4" s="60" t="s">
        <v>39</v>
      </c>
    </row>
    <row r="7" spans="1:5" x14ac:dyDescent="0.25">
      <c r="A7" s="154" t="s">
        <v>513</v>
      </c>
      <c r="B7" s="69">
        <v>250</v>
      </c>
    </row>
    <row r="8" spans="1:5" x14ac:dyDescent="0.25">
      <c r="A8" s="153"/>
      <c r="B8" s="69"/>
    </row>
    <row r="9" spans="1:5" x14ac:dyDescent="0.25">
      <c r="A9" s="153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7"/>
      <c r="B14" s="69"/>
    </row>
    <row r="15" spans="1:5" x14ac:dyDescent="0.25">
      <c r="A15" s="147"/>
      <c r="B15" s="69"/>
    </row>
    <row r="16" spans="1:5" x14ac:dyDescent="0.25">
      <c r="A16" s="147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5"/>
      <c r="B24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6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344" t="s">
        <v>507</v>
      </c>
      <c r="B1" s="344"/>
      <c r="C1" s="346" t="s">
        <v>508</v>
      </c>
    </row>
    <row r="2" spans="1:3" x14ac:dyDescent="0.25">
      <c r="A2" s="345"/>
      <c r="B2" s="345"/>
      <c r="C2" s="346"/>
    </row>
    <row r="3" spans="1:3" ht="23.25" customHeight="1" x14ac:dyDescent="0.25">
      <c r="A3" s="145" t="s">
        <v>499</v>
      </c>
      <c r="B3" s="145" t="s">
        <v>502</v>
      </c>
      <c r="C3" s="69">
        <f>SUM(B4:B26)</f>
        <v>45</v>
      </c>
    </row>
    <row r="6" spans="1:3" x14ac:dyDescent="0.25">
      <c r="A6" s="153" t="s">
        <v>512</v>
      </c>
      <c r="B6" s="69">
        <v>45</v>
      </c>
    </row>
    <row r="7" spans="1:3" x14ac:dyDescent="0.25">
      <c r="A7" s="153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7"/>
      <c r="B13" s="69"/>
    </row>
    <row r="14" spans="1:3" x14ac:dyDescent="0.25">
      <c r="A14" s="147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x14ac:dyDescent="0.25">
      <c r="A24" s="145"/>
      <c r="B24" s="69"/>
    </row>
    <row r="25" spans="1:2" x14ac:dyDescent="0.25">
      <c r="A25" s="145"/>
      <c r="B25" s="69"/>
    </row>
    <row r="26" spans="1:2" hidden="1" x14ac:dyDescent="0.25">
      <c r="A26" s="145"/>
      <c r="B26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4.7109375" customWidth="1"/>
    <col min="3" max="3" width="12.140625" bestFit="1" customWidth="1"/>
    <col min="4" max="4" width="10.5703125" bestFit="1" customWidth="1"/>
    <col min="5" max="6" width="12.140625" bestFit="1" customWidth="1"/>
    <col min="7" max="8" width="10.5703125" bestFit="1" customWidth="1"/>
    <col min="9" max="9" width="12.140625" bestFit="1" customWidth="1"/>
    <col min="10" max="10" width="18.140625" bestFit="1" customWidth="1"/>
    <col min="11" max="11" width="12.140625" bestFit="1" customWidth="1"/>
    <col min="12" max="12" width="18.140625" bestFit="1" customWidth="1"/>
    <col min="13" max="13" width="12.140625" bestFit="1" customWidth="1"/>
    <col min="14" max="14" width="18.140625" bestFit="1" customWidth="1"/>
    <col min="15" max="15" width="12.140625" bestFit="1" customWidth="1"/>
  </cols>
  <sheetData>
    <row r="1" spans="1:2" x14ac:dyDescent="0.25">
      <c r="A1" s="168" t="s">
        <v>515</v>
      </c>
      <c r="B1" t="s">
        <v>318</v>
      </c>
    </row>
    <row r="3" spans="1:2" x14ac:dyDescent="0.25">
      <c r="A3" s="168" t="s">
        <v>460</v>
      </c>
      <c r="B3" t="s">
        <v>529</v>
      </c>
    </row>
    <row r="4" spans="1:2" x14ac:dyDescent="0.25">
      <c r="A4" s="169" t="s">
        <v>522</v>
      </c>
      <c r="B4" s="156">
        <v>1390</v>
      </c>
    </row>
    <row r="5" spans="1:2" x14ac:dyDescent="0.25">
      <c r="A5" s="169" t="s">
        <v>156</v>
      </c>
      <c r="B5" s="156">
        <v>1390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/>
  </sheetViews>
  <sheetFormatPr defaultRowHeight="15" x14ac:dyDescent="0.25"/>
  <cols>
    <col min="1" max="1" width="17.85546875" bestFit="1" customWidth="1"/>
    <col min="2" max="2" width="11.28515625" customWidth="1"/>
    <col min="3" max="4" width="15.7109375" customWidth="1"/>
    <col min="5" max="5" width="14.140625" customWidth="1"/>
  </cols>
  <sheetData>
    <row r="1" spans="1:5" ht="24" customHeight="1" x14ac:dyDescent="0.25">
      <c r="A1" s="161" t="s">
        <v>514</v>
      </c>
      <c r="B1" s="162" t="s">
        <v>515</v>
      </c>
      <c r="C1" s="162" t="s">
        <v>516</v>
      </c>
      <c r="D1" s="162" t="s">
        <v>517</v>
      </c>
      <c r="E1" s="163" t="s">
        <v>166</v>
      </c>
    </row>
    <row r="2" spans="1:5" x14ac:dyDescent="0.25">
      <c r="A2" s="159" t="s">
        <v>518</v>
      </c>
      <c r="B2" s="157" t="s">
        <v>525</v>
      </c>
      <c r="C2" s="158">
        <v>550</v>
      </c>
      <c r="D2" s="158">
        <v>600</v>
      </c>
      <c r="E2" s="160">
        <f>SUM(C2:D2)</f>
        <v>1150</v>
      </c>
    </row>
    <row r="3" spans="1:5" x14ac:dyDescent="0.25">
      <c r="A3" s="159" t="s">
        <v>519</v>
      </c>
      <c r="B3" s="157" t="s">
        <v>528</v>
      </c>
      <c r="C3" s="158">
        <v>380</v>
      </c>
      <c r="D3" s="158">
        <v>310</v>
      </c>
      <c r="E3" s="160">
        <f t="shared" ref="E3:E8" si="0">SUM(C3:D3)</f>
        <v>690</v>
      </c>
    </row>
    <row r="4" spans="1:5" x14ac:dyDescent="0.25">
      <c r="A4" s="159" t="s">
        <v>520</v>
      </c>
      <c r="B4" s="157" t="s">
        <v>320</v>
      </c>
      <c r="C4" s="158">
        <v>120</v>
      </c>
      <c r="D4" s="158">
        <v>260</v>
      </c>
      <c r="E4" s="160">
        <f t="shared" si="0"/>
        <v>380</v>
      </c>
    </row>
    <row r="5" spans="1:5" x14ac:dyDescent="0.25">
      <c r="A5" s="159" t="s">
        <v>521</v>
      </c>
      <c r="B5" s="157" t="s">
        <v>319</v>
      </c>
      <c r="C5" s="158">
        <v>560</v>
      </c>
      <c r="D5" s="158">
        <v>780</v>
      </c>
      <c r="E5" s="160">
        <f t="shared" si="0"/>
        <v>1340</v>
      </c>
    </row>
    <row r="6" spans="1:5" x14ac:dyDescent="0.25">
      <c r="A6" s="159" t="s">
        <v>522</v>
      </c>
      <c r="B6" s="157" t="s">
        <v>318</v>
      </c>
      <c r="C6" s="158">
        <v>970</v>
      </c>
      <c r="D6" s="158">
        <v>420</v>
      </c>
      <c r="E6" s="160">
        <f t="shared" si="0"/>
        <v>1390</v>
      </c>
    </row>
    <row r="7" spans="1:5" x14ac:dyDescent="0.25">
      <c r="A7" s="159" t="s">
        <v>523</v>
      </c>
      <c r="B7" s="157" t="s">
        <v>526</v>
      </c>
      <c r="C7" s="158">
        <v>1000</v>
      </c>
      <c r="D7" s="158">
        <v>150</v>
      </c>
      <c r="E7" s="160">
        <f t="shared" si="0"/>
        <v>1150</v>
      </c>
    </row>
    <row r="8" spans="1:5" x14ac:dyDescent="0.25">
      <c r="A8" s="164" t="s">
        <v>524</v>
      </c>
      <c r="B8" s="165" t="s">
        <v>527</v>
      </c>
      <c r="C8" s="166">
        <v>300</v>
      </c>
      <c r="D8" s="166">
        <v>640</v>
      </c>
      <c r="E8" s="167">
        <f t="shared" si="0"/>
        <v>940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6"/>
  <sheetViews>
    <sheetView topLeftCell="A13" workbookViewId="0">
      <selection activeCell="J25" sqref="J25"/>
    </sheetView>
  </sheetViews>
  <sheetFormatPr defaultRowHeight="15" x14ac:dyDescent="0.25"/>
  <cols>
    <col min="1" max="1" width="18" customWidth="1"/>
    <col min="2" max="2" width="20.42578125" customWidth="1"/>
    <col min="3" max="3" width="13.42578125" bestFit="1" customWidth="1"/>
    <col min="4" max="4" width="12.28515625" customWidth="1"/>
    <col min="5" max="5" width="14" bestFit="1" customWidth="1"/>
    <col min="6" max="6" width="12.140625" customWidth="1"/>
    <col min="7" max="7" width="13.28515625" bestFit="1" customWidth="1"/>
    <col min="8" max="8" width="14.5703125" bestFit="1" customWidth="1"/>
    <col min="9" max="9" width="13.28515625" bestFit="1" customWidth="1"/>
  </cols>
  <sheetData>
    <row r="1" spans="1:6" ht="23.25" customHeight="1" x14ac:dyDescent="0.25">
      <c r="A1" s="347" t="s">
        <v>530</v>
      </c>
      <c r="B1" s="348"/>
      <c r="D1" s="171" t="s">
        <v>488</v>
      </c>
      <c r="E1" s="171" t="s">
        <v>531</v>
      </c>
      <c r="F1" s="171" t="s">
        <v>532</v>
      </c>
    </row>
    <row r="2" spans="1:6" x14ac:dyDescent="0.25">
      <c r="A2" s="157">
        <v>0</v>
      </c>
      <c r="B2" s="157" t="s">
        <v>533</v>
      </c>
      <c r="D2" s="172" t="s">
        <v>539</v>
      </c>
      <c r="E2" s="173">
        <v>854</v>
      </c>
      <c r="F2" s="157" t="str">
        <f t="shared" ref="F2:F8" si="0">VLOOKUP(E2,Salarios,2,1)</f>
        <v>0-1000</v>
      </c>
    </row>
    <row r="3" spans="1:6" x14ac:dyDescent="0.25">
      <c r="A3" s="157">
        <v>1000</v>
      </c>
      <c r="B3" s="157" t="s">
        <v>534</v>
      </c>
      <c r="D3" s="172" t="s">
        <v>540</v>
      </c>
      <c r="E3" s="173">
        <v>1713</v>
      </c>
      <c r="F3" s="157" t="str">
        <f t="shared" si="0"/>
        <v>1000-2000</v>
      </c>
    </row>
    <row r="4" spans="1:6" x14ac:dyDescent="0.25">
      <c r="A4" s="157">
        <v>2000</v>
      </c>
      <c r="B4" s="157" t="s">
        <v>535</v>
      </c>
      <c r="D4" s="172" t="s">
        <v>541</v>
      </c>
      <c r="E4" s="173">
        <v>5600</v>
      </c>
      <c r="F4" s="157" t="str">
        <f t="shared" si="0"/>
        <v>5000-6000</v>
      </c>
    </row>
    <row r="5" spans="1:6" x14ac:dyDescent="0.25">
      <c r="A5" s="157">
        <v>3000</v>
      </c>
      <c r="B5" s="157" t="s">
        <v>536</v>
      </c>
      <c r="D5" s="172" t="s">
        <v>542</v>
      </c>
      <c r="E5" s="173">
        <v>4354</v>
      </c>
      <c r="F5" s="157" t="str">
        <f t="shared" si="0"/>
        <v>4000-5000</v>
      </c>
    </row>
    <row r="6" spans="1:6" x14ac:dyDescent="0.25">
      <c r="A6" s="157">
        <v>4000</v>
      </c>
      <c r="B6" s="157" t="s">
        <v>537</v>
      </c>
      <c r="D6" s="172" t="s">
        <v>543</v>
      </c>
      <c r="E6" s="173">
        <v>8453</v>
      </c>
      <c r="F6" s="157" t="str">
        <f t="shared" si="0"/>
        <v>10000 +</v>
      </c>
    </row>
    <row r="7" spans="1:6" x14ac:dyDescent="0.25">
      <c r="A7" s="157">
        <v>5000</v>
      </c>
      <c r="B7" s="157" t="s">
        <v>538</v>
      </c>
      <c r="D7" s="172" t="s">
        <v>544</v>
      </c>
      <c r="E7" s="173">
        <v>11200</v>
      </c>
      <c r="F7" s="157" t="str">
        <f t="shared" si="0"/>
        <v>10000 +</v>
      </c>
    </row>
    <row r="8" spans="1:6" x14ac:dyDescent="0.25">
      <c r="A8" s="157">
        <v>6000</v>
      </c>
      <c r="B8" s="157" t="s">
        <v>546</v>
      </c>
      <c r="D8" s="172" t="s">
        <v>545</v>
      </c>
      <c r="E8" s="173">
        <v>3800</v>
      </c>
      <c r="F8" s="157" t="str">
        <f t="shared" si="0"/>
        <v>3000-4000</v>
      </c>
    </row>
    <row r="10" spans="1:6" x14ac:dyDescent="0.25">
      <c r="A10" s="168" t="s">
        <v>460</v>
      </c>
      <c r="B10" t="s">
        <v>548</v>
      </c>
    </row>
    <row r="11" spans="1:6" x14ac:dyDescent="0.25">
      <c r="A11" s="169" t="s">
        <v>533</v>
      </c>
      <c r="B11" s="174">
        <v>1</v>
      </c>
    </row>
    <row r="12" spans="1:6" x14ac:dyDescent="0.25">
      <c r="A12" s="169" t="s">
        <v>546</v>
      </c>
      <c r="B12" s="174">
        <v>2</v>
      </c>
    </row>
    <row r="13" spans="1:6" x14ac:dyDescent="0.25">
      <c r="A13" s="169" t="s">
        <v>534</v>
      </c>
      <c r="B13" s="174">
        <v>1</v>
      </c>
    </row>
    <row r="14" spans="1:6" x14ac:dyDescent="0.25">
      <c r="A14" s="169" t="s">
        <v>536</v>
      </c>
      <c r="B14" s="174">
        <v>1</v>
      </c>
    </row>
    <row r="15" spans="1:6" x14ac:dyDescent="0.25">
      <c r="A15" s="169" t="s">
        <v>537</v>
      </c>
      <c r="B15" s="174">
        <v>1</v>
      </c>
    </row>
    <row r="16" spans="1:6" x14ac:dyDescent="0.25">
      <c r="A16" s="169" t="s">
        <v>538</v>
      </c>
      <c r="B16" s="174">
        <v>1</v>
      </c>
    </row>
    <row r="17" spans="1:8" x14ac:dyDescent="0.25">
      <c r="A17" s="169" t="s">
        <v>156</v>
      </c>
      <c r="B17" s="174">
        <v>7</v>
      </c>
    </row>
    <row r="24" spans="1:8" x14ac:dyDescent="0.25">
      <c r="A24" s="131" t="s">
        <v>460</v>
      </c>
      <c r="B24" s="5" t="s">
        <v>547</v>
      </c>
      <c r="C24" s="349"/>
      <c r="D24" s="350"/>
      <c r="E24" s="350"/>
      <c r="F24" s="350"/>
      <c r="G24" s="350"/>
      <c r="H24" s="350"/>
    </row>
    <row r="25" spans="1:8" x14ac:dyDescent="0.25">
      <c r="A25" s="155" t="s">
        <v>539</v>
      </c>
      <c r="B25" s="90">
        <v>854</v>
      </c>
      <c r="C25" s="349"/>
      <c r="D25" s="350"/>
      <c r="E25" s="350"/>
      <c r="F25" s="350"/>
      <c r="G25" s="350"/>
      <c r="H25" s="350"/>
    </row>
    <row r="26" spans="1:8" x14ac:dyDescent="0.25">
      <c r="A26" s="155" t="s">
        <v>156</v>
      </c>
      <c r="B26" s="90">
        <v>854</v>
      </c>
      <c r="C26" s="349"/>
      <c r="D26" s="350"/>
      <c r="E26" s="350"/>
      <c r="F26" s="350"/>
      <c r="G26" s="350"/>
      <c r="H26" s="350"/>
    </row>
  </sheetData>
  <mergeCells count="2">
    <mergeCell ref="A1:B1"/>
    <mergeCell ref="C24:H26"/>
  </mergeCells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D1" workbookViewId="0">
      <selection activeCell="N12" sqref="N12"/>
    </sheetView>
  </sheetViews>
  <sheetFormatPr defaultRowHeight="15" x14ac:dyDescent="0.25"/>
  <cols>
    <col min="1" max="1" width="22.85546875" bestFit="1" customWidth="1"/>
    <col min="2" max="2" width="11.7109375" bestFit="1" customWidth="1"/>
    <col min="3" max="3" width="17.28515625" customWidth="1"/>
    <col min="9" max="9" width="22.85546875" customWidth="1"/>
    <col min="10" max="10" width="23.5703125" bestFit="1" customWidth="1"/>
    <col min="11" max="11" width="17.7109375" customWidth="1"/>
    <col min="12" max="12" width="5" customWidth="1"/>
    <col min="13" max="13" width="9.7109375" bestFit="1" customWidth="1"/>
    <col min="14" max="14" width="10.7109375" bestFit="1" customWidth="1"/>
  </cols>
  <sheetData>
    <row r="1" spans="1:10" ht="22.5" customHeight="1" x14ac:dyDescent="0.25">
      <c r="A1" s="175" t="s">
        <v>549</v>
      </c>
      <c r="B1" s="176" t="s">
        <v>550</v>
      </c>
      <c r="C1" s="177" t="s">
        <v>551</v>
      </c>
      <c r="I1" s="168" t="s">
        <v>460</v>
      </c>
      <c r="J1" t="s">
        <v>557</v>
      </c>
    </row>
    <row r="2" spans="1:10" x14ac:dyDescent="0.25">
      <c r="A2" s="178" t="s">
        <v>552</v>
      </c>
      <c r="B2" s="154">
        <v>2022</v>
      </c>
      <c r="C2" s="179">
        <v>500</v>
      </c>
      <c r="I2" s="169" t="s">
        <v>553</v>
      </c>
      <c r="J2" s="170">
        <v>550</v>
      </c>
    </row>
    <row r="3" spans="1:10" x14ac:dyDescent="0.25">
      <c r="A3" s="178" t="s">
        <v>553</v>
      </c>
      <c r="B3" s="154">
        <v>2020</v>
      </c>
      <c r="C3" s="179">
        <v>550</v>
      </c>
      <c r="I3" s="169" t="s">
        <v>552</v>
      </c>
      <c r="J3" s="170">
        <v>500</v>
      </c>
    </row>
    <row r="4" spans="1:10" x14ac:dyDescent="0.25">
      <c r="A4" s="178" t="s">
        <v>554</v>
      </c>
      <c r="B4" s="154">
        <v>2017</v>
      </c>
      <c r="C4" s="179">
        <v>750</v>
      </c>
      <c r="I4" s="169" t="s">
        <v>554</v>
      </c>
      <c r="J4" s="170">
        <v>750</v>
      </c>
    </row>
    <row r="5" spans="1:10" x14ac:dyDescent="0.25">
      <c r="A5" s="180" t="s">
        <v>555</v>
      </c>
      <c r="B5" s="181" t="s">
        <v>556</v>
      </c>
      <c r="C5" s="182">
        <v>1500</v>
      </c>
      <c r="I5" s="169" t="s">
        <v>555</v>
      </c>
      <c r="J5" s="170">
        <v>1500</v>
      </c>
    </row>
    <row r="6" spans="1:10" x14ac:dyDescent="0.25">
      <c r="I6" s="169" t="s">
        <v>156</v>
      </c>
      <c r="J6" s="170">
        <v>3300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4" sqref="C4"/>
    </sheetView>
  </sheetViews>
  <sheetFormatPr defaultRowHeight="15" x14ac:dyDescent="0.25"/>
  <cols>
    <col min="1" max="1" width="13.28515625" bestFit="1" customWidth="1"/>
  </cols>
  <sheetData>
    <row r="1" spans="1:3" x14ac:dyDescent="0.25">
      <c r="A1" t="s">
        <v>558</v>
      </c>
    </row>
    <row r="2" spans="1:3" x14ac:dyDescent="0.25">
      <c r="A2" s="156">
        <f>'[1]Total Bimestre'!$B$2</f>
        <v>7760</v>
      </c>
    </row>
    <row r="3" spans="1:3" x14ac:dyDescent="0.25">
      <c r="A3" s="156">
        <f>'[1]Total Bimestre'!$B$3</f>
        <v>9179</v>
      </c>
      <c r="C3" t="s">
        <v>559</v>
      </c>
    </row>
    <row r="4" spans="1:3" x14ac:dyDescent="0.25">
      <c r="A4" s="156">
        <f>'[1]Total Bimestre'!$B$4</f>
        <v>16939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H22"/>
  <sheetViews>
    <sheetView workbookViewId="0">
      <selection activeCell="G20" sqref="G20"/>
    </sheetView>
  </sheetViews>
  <sheetFormatPr defaultRowHeight="15" x14ac:dyDescent="0.25"/>
  <cols>
    <col min="1" max="1" width="13.7109375" customWidth="1"/>
    <col min="2" max="2" width="16.42578125" customWidth="1"/>
    <col min="3" max="3" width="15.85546875" customWidth="1"/>
    <col min="5" max="5" width="11.140625" bestFit="1" customWidth="1"/>
    <col min="6" max="6" width="13.85546875" customWidth="1"/>
    <col min="7" max="7" width="17.28515625" customWidth="1"/>
    <col min="8" max="8" width="21.42578125" customWidth="1"/>
  </cols>
  <sheetData>
    <row r="1" spans="1:8" ht="28.5" customHeight="1" x14ac:dyDescent="0.25">
      <c r="A1" s="183" t="s">
        <v>560</v>
      </c>
      <c r="B1" s="183" t="s">
        <v>561</v>
      </c>
      <c r="C1" s="183" t="s">
        <v>195</v>
      </c>
      <c r="E1" s="183" t="s">
        <v>560</v>
      </c>
      <c r="F1" s="183" t="s">
        <v>561</v>
      </c>
      <c r="G1" s="183" t="s">
        <v>195</v>
      </c>
      <c r="H1" s="183" t="s">
        <v>574</v>
      </c>
    </row>
    <row r="2" spans="1:8" x14ac:dyDescent="0.25">
      <c r="A2" s="60">
        <v>1</v>
      </c>
      <c r="B2" s="71" t="s">
        <v>451</v>
      </c>
      <c r="C2" s="72">
        <v>500</v>
      </c>
      <c r="E2" s="154">
        <v>1</v>
      </c>
      <c r="F2" s="184" t="str">
        <f>IF(E2&gt;21," ",VLOOKUP(E2,vendas,2,0))</f>
        <v>Alberto</v>
      </c>
      <c r="G2" s="185">
        <f>IF(E2&gt;20," ",VLOOKUP(E2,vendas,3,0))</f>
        <v>500</v>
      </c>
      <c r="H2" s="185">
        <f>G2</f>
        <v>500</v>
      </c>
    </row>
    <row r="3" spans="1:8" x14ac:dyDescent="0.25">
      <c r="A3" s="60">
        <v>2</v>
      </c>
      <c r="B3" s="71" t="s">
        <v>180</v>
      </c>
      <c r="C3" s="72">
        <v>1300</v>
      </c>
      <c r="E3" s="154">
        <f>E2+1</f>
        <v>2</v>
      </c>
      <c r="F3" s="184" t="str">
        <f>IF(E3&gt;21," ",VLOOKUP(E3,vendas,2,0))</f>
        <v>Carlos</v>
      </c>
      <c r="G3" s="185">
        <f>IF(E3&gt;20," ",VLOOKUP(E3,vendas,3,0))</f>
        <v>1300</v>
      </c>
      <c r="H3" s="185">
        <f t="shared" ref="H3:H6" si="0">G3</f>
        <v>1300</v>
      </c>
    </row>
    <row r="4" spans="1:8" x14ac:dyDescent="0.25">
      <c r="A4" s="60">
        <v>3</v>
      </c>
      <c r="B4" s="71" t="s">
        <v>562</v>
      </c>
      <c r="C4" s="72">
        <v>400</v>
      </c>
      <c r="E4" s="154">
        <f t="shared" ref="E4:E6" si="1">E3+1</f>
        <v>3</v>
      </c>
      <c r="F4" s="184" t="str">
        <f>IF(E4&gt;21," ",VLOOKUP(E4,vendas,2,0))</f>
        <v>Natan</v>
      </c>
      <c r="G4" s="185">
        <f>IF(E4&gt;20," ",VLOOKUP(E4,vendas,3,0))</f>
        <v>400</v>
      </c>
      <c r="H4" s="185">
        <f t="shared" si="0"/>
        <v>400</v>
      </c>
    </row>
    <row r="5" spans="1:8" x14ac:dyDescent="0.25">
      <c r="A5" s="60">
        <v>4</v>
      </c>
      <c r="B5" s="71" t="s">
        <v>563</v>
      </c>
      <c r="C5" s="72">
        <v>300</v>
      </c>
      <c r="E5" s="154">
        <f t="shared" si="1"/>
        <v>4</v>
      </c>
      <c r="F5" s="184" t="str">
        <f>IF(E5&gt;21," ",VLOOKUP(E5,vendas,2,0))</f>
        <v>Felipe</v>
      </c>
      <c r="G5" s="185">
        <f>IF(E5&gt;20," ",VLOOKUP(E5,vendas,3,0))</f>
        <v>300</v>
      </c>
      <c r="H5" s="185">
        <f t="shared" si="0"/>
        <v>300</v>
      </c>
    </row>
    <row r="6" spans="1:8" x14ac:dyDescent="0.25">
      <c r="A6" s="60">
        <v>5</v>
      </c>
      <c r="B6" s="71" t="s">
        <v>564</v>
      </c>
      <c r="C6" s="72">
        <v>800</v>
      </c>
      <c r="E6" s="154">
        <f t="shared" si="1"/>
        <v>5</v>
      </c>
      <c r="F6" s="184" t="str">
        <f>IF(E6&gt;21," ",VLOOKUP(E6,vendas,2,0))</f>
        <v>Rosana</v>
      </c>
      <c r="G6" s="185">
        <f>IF(E6&gt;20," ",VLOOKUP(E6,vendas,3,0))</f>
        <v>800</v>
      </c>
      <c r="H6" s="185">
        <f t="shared" si="0"/>
        <v>800</v>
      </c>
    </row>
    <row r="7" spans="1:8" x14ac:dyDescent="0.25">
      <c r="A7" s="60">
        <v>6</v>
      </c>
      <c r="B7" s="71" t="s">
        <v>182</v>
      </c>
      <c r="C7" s="72">
        <v>1500</v>
      </c>
    </row>
    <row r="8" spans="1:8" x14ac:dyDescent="0.25">
      <c r="A8" s="60">
        <v>7</v>
      </c>
      <c r="B8" s="71" t="s">
        <v>183</v>
      </c>
      <c r="C8" s="72">
        <v>1900</v>
      </c>
    </row>
    <row r="9" spans="1:8" x14ac:dyDescent="0.25">
      <c r="A9" s="60">
        <v>8</v>
      </c>
      <c r="B9" s="71" t="s">
        <v>86</v>
      </c>
      <c r="C9" s="72">
        <v>2100</v>
      </c>
    </row>
    <row r="10" spans="1:8" x14ac:dyDescent="0.25">
      <c r="A10" s="60">
        <v>9</v>
      </c>
      <c r="B10" s="71" t="s">
        <v>565</v>
      </c>
      <c r="C10" s="72">
        <v>800</v>
      </c>
    </row>
    <row r="11" spans="1:8" x14ac:dyDescent="0.25">
      <c r="A11" s="60">
        <v>10</v>
      </c>
      <c r="B11" s="71" t="s">
        <v>566</v>
      </c>
      <c r="C11" s="72">
        <v>2700</v>
      </c>
    </row>
    <row r="12" spans="1:8" x14ac:dyDescent="0.25">
      <c r="A12" s="60">
        <v>11</v>
      </c>
      <c r="B12" s="71" t="s">
        <v>567</v>
      </c>
      <c r="C12" s="72">
        <v>600</v>
      </c>
    </row>
    <row r="13" spans="1:8" x14ac:dyDescent="0.25">
      <c r="A13" s="60">
        <v>12</v>
      </c>
      <c r="B13" s="71" t="s">
        <v>184</v>
      </c>
      <c r="C13" s="72">
        <v>100</v>
      </c>
      <c r="G13" s="186" t="s">
        <v>573</v>
      </c>
    </row>
    <row r="14" spans="1:8" x14ac:dyDescent="0.25">
      <c r="A14" s="60">
        <v>13</v>
      </c>
      <c r="B14" s="71" t="s">
        <v>181</v>
      </c>
      <c r="C14" s="72">
        <v>800</v>
      </c>
    </row>
    <row r="15" spans="1:8" x14ac:dyDescent="0.25">
      <c r="A15" s="60">
        <v>14</v>
      </c>
      <c r="B15" s="71" t="s">
        <v>490</v>
      </c>
      <c r="C15" s="72">
        <v>400</v>
      </c>
      <c r="H15" s="186"/>
    </row>
    <row r="16" spans="1:8" x14ac:dyDescent="0.25">
      <c r="A16" s="60">
        <v>15</v>
      </c>
      <c r="B16" s="71" t="s">
        <v>568</v>
      </c>
      <c r="C16" s="72">
        <v>300</v>
      </c>
    </row>
    <row r="17" spans="1:3" x14ac:dyDescent="0.25">
      <c r="A17" s="60">
        <v>16</v>
      </c>
      <c r="B17" s="71" t="s">
        <v>569</v>
      </c>
      <c r="C17" s="72">
        <v>5000</v>
      </c>
    </row>
    <row r="18" spans="1:3" x14ac:dyDescent="0.25">
      <c r="A18" s="60">
        <v>17</v>
      </c>
      <c r="B18" s="71" t="s">
        <v>570</v>
      </c>
      <c r="C18" s="72">
        <v>2400</v>
      </c>
    </row>
    <row r="19" spans="1:3" x14ac:dyDescent="0.25">
      <c r="A19" s="60">
        <v>18</v>
      </c>
      <c r="B19" s="71" t="s">
        <v>571</v>
      </c>
      <c r="C19" s="72">
        <v>1600</v>
      </c>
    </row>
    <row r="20" spans="1:3" x14ac:dyDescent="0.25">
      <c r="A20" s="60">
        <v>19</v>
      </c>
      <c r="B20" s="71" t="s">
        <v>448</v>
      </c>
      <c r="C20" s="72">
        <v>3000</v>
      </c>
    </row>
    <row r="21" spans="1:3" x14ac:dyDescent="0.25">
      <c r="A21" s="60">
        <v>20</v>
      </c>
      <c r="B21" s="71" t="s">
        <v>572</v>
      </c>
      <c r="C21" s="72">
        <v>1100</v>
      </c>
    </row>
    <row r="22" spans="1:3" x14ac:dyDescent="0.25">
      <c r="A22" s="187">
        <v>21</v>
      </c>
      <c r="B22" s="188" t="s">
        <v>575</v>
      </c>
      <c r="C22" s="189">
        <v>1500</v>
      </c>
    </row>
  </sheetData>
  <conditionalFormatting sqref="H2:H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{77FE8BD9-5FCF-49D6-820D-F757764C8839}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0" r:id="rId3" name="Scroll Bar 6">
              <controlPr defaultSize="0" autoPict="0">
                <anchor moveWithCells="1">
                  <from>
                    <xdr:col>3</xdr:col>
                    <xdr:colOff>600075</xdr:colOff>
                    <xdr:row>6</xdr:row>
                    <xdr:rowOff>57150</xdr:rowOff>
                  </from>
                  <to>
                    <xdr:col>7</xdr:col>
                    <xdr:colOff>1419225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E8BD9-5FCF-49D6-820D-F757764C8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K3" sqref="K3:K7"/>
    </sheetView>
  </sheetViews>
  <sheetFormatPr defaultRowHeight="15" x14ac:dyDescent="0.25"/>
  <cols>
    <col min="1" max="1" width="22" bestFit="1" customWidth="1"/>
    <col min="2" max="2" width="13.28515625" bestFit="1" customWidth="1"/>
    <col min="4" max="4" width="24.140625" bestFit="1" customWidth="1"/>
    <col min="5" max="5" width="13.5703125" bestFit="1" customWidth="1"/>
    <col min="7" max="7" width="20.140625" bestFit="1" customWidth="1"/>
    <col min="8" max="8" width="13.28515625" bestFit="1" customWidth="1"/>
  </cols>
  <sheetData>
    <row r="1" spans="1:11" ht="21.75" customHeight="1" x14ac:dyDescent="0.25">
      <c r="A1" s="270" t="s">
        <v>576</v>
      </c>
      <c r="B1" s="270"/>
      <c r="C1" s="270"/>
      <c r="D1" s="270"/>
      <c r="E1" s="270"/>
      <c r="F1" s="270"/>
      <c r="G1" s="270"/>
      <c r="H1" s="270"/>
    </row>
    <row r="2" spans="1:11" x14ac:dyDescent="0.25">
      <c r="A2" s="352" t="s">
        <v>583</v>
      </c>
      <c r="B2" s="352"/>
      <c r="D2" s="352" t="s">
        <v>580</v>
      </c>
      <c r="E2" s="352"/>
      <c r="G2" s="352" t="s">
        <v>592</v>
      </c>
      <c r="H2" s="352"/>
    </row>
    <row r="3" spans="1:11" x14ac:dyDescent="0.25">
      <c r="A3" s="79" t="s">
        <v>578</v>
      </c>
      <c r="B3" s="190">
        <v>15000</v>
      </c>
      <c r="D3" s="79" t="s">
        <v>577</v>
      </c>
      <c r="E3" s="190">
        <v>15000</v>
      </c>
      <c r="G3" s="79" t="s">
        <v>577</v>
      </c>
      <c r="H3" s="190">
        <v>4600</v>
      </c>
    </row>
    <row r="4" spans="1:11" x14ac:dyDescent="0.25">
      <c r="A4" s="79" t="s">
        <v>260</v>
      </c>
      <c r="B4" s="191">
        <v>8</v>
      </c>
      <c r="D4" s="79" t="s">
        <v>581</v>
      </c>
      <c r="E4" s="191">
        <v>8</v>
      </c>
      <c r="G4" s="79" t="s">
        <v>581</v>
      </c>
      <c r="H4" s="190">
        <v>110</v>
      </c>
    </row>
    <row r="5" spans="1:11" x14ac:dyDescent="0.25">
      <c r="A5" s="79" t="s">
        <v>579</v>
      </c>
      <c r="B5" s="192">
        <v>0.1</v>
      </c>
      <c r="D5" s="79" t="s">
        <v>579</v>
      </c>
      <c r="E5" s="192">
        <v>0.1</v>
      </c>
      <c r="G5" s="79" t="s">
        <v>579</v>
      </c>
      <c r="H5" s="192">
        <v>0.01</v>
      </c>
    </row>
    <row r="6" spans="1:11" x14ac:dyDescent="0.25">
      <c r="A6" s="193" t="s">
        <v>583</v>
      </c>
      <c r="B6" s="194">
        <f>ABS(PV(B5,B4,,B3))</f>
        <v>6997.6107031459978</v>
      </c>
      <c r="D6" s="193" t="s">
        <v>580</v>
      </c>
      <c r="E6" s="194">
        <f>ABS(FV(E5,E4,,E3))</f>
        <v>32153.832150000017</v>
      </c>
      <c r="G6" s="79" t="s">
        <v>582</v>
      </c>
      <c r="H6" s="195">
        <f>ABS(NPER(H5,H4,,H3))</f>
        <v>54.430077795886042</v>
      </c>
    </row>
    <row r="7" spans="1:11" x14ac:dyDescent="0.25">
      <c r="K7" s="200"/>
    </row>
    <row r="8" spans="1:11" x14ac:dyDescent="0.25">
      <c r="A8" s="353" t="s">
        <v>584</v>
      </c>
      <c r="B8" s="354"/>
      <c r="D8" s="355" t="s">
        <v>588</v>
      </c>
      <c r="E8" s="355"/>
    </row>
    <row r="9" spans="1:11" x14ac:dyDescent="0.25">
      <c r="A9" s="79" t="s">
        <v>585</v>
      </c>
      <c r="B9" s="190">
        <v>15000</v>
      </c>
      <c r="D9" s="79" t="s">
        <v>585</v>
      </c>
      <c r="E9" s="190">
        <v>15000</v>
      </c>
    </row>
    <row r="10" spans="1:11" x14ac:dyDescent="0.25">
      <c r="A10" s="79" t="s">
        <v>582</v>
      </c>
      <c r="B10" s="79">
        <v>40</v>
      </c>
      <c r="D10" s="79" t="s">
        <v>582</v>
      </c>
      <c r="E10" s="79">
        <v>48</v>
      </c>
    </row>
    <row r="11" spans="1:11" x14ac:dyDescent="0.25">
      <c r="A11" s="79" t="s">
        <v>586</v>
      </c>
      <c r="B11" s="190">
        <v>180</v>
      </c>
      <c r="D11" s="193" t="s">
        <v>586</v>
      </c>
      <c r="E11" s="194">
        <f>ABS(PMT(E12,E10,E9))</f>
        <v>459.65830332437571</v>
      </c>
    </row>
    <row r="12" spans="1:11" x14ac:dyDescent="0.25">
      <c r="A12" s="193" t="s">
        <v>587</v>
      </c>
      <c r="B12" s="192">
        <f>RATE(B10,B11,,-B9)</f>
        <v>3.4372585047784482E-2</v>
      </c>
      <c r="D12" s="79" t="s">
        <v>587</v>
      </c>
      <c r="E12" s="196">
        <v>1.7000000000000001E-2</v>
      </c>
    </row>
    <row r="14" spans="1:11" x14ac:dyDescent="0.25">
      <c r="A14" s="351" t="s">
        <v>589</v>
      </c>
      <c r="B14" s="351"/>
      <c r="C14" s="351"/>
      <c r="D14" s="351"/>
      <c r="E14" s="351"/>
      <c r="F14" s="351"/>
      <c r="G14" s="351"/>
      <c r="H14" s="351"/>
      <c r="I14" s="351"/>
    </row>
    <row r="15" spans="1:11" x14ac:dyDescent="0.25">
      <c r="A15" s="351" t="s">
        <v>590</v>
      </c>
      <c r="B15" s="351"/>
      <c r="C15" s="351"/>
      <c r="D15" s="351"/>
      <c r="E15" s="351"/>
      <c r="F15" s="351"/>
      <c r="G15" s="351"/>
      <c r="H15" s="351"/>
      <c r="I15" s="351"/>
    </row>
    <row r="16" spans="1:11" x14ac:dyDescent="0.25">
      <c r="A16" s="351" t="s">
        <v>591</v>
      </c>
      <c r="B16" s="351"/>
      <c r="C16" s="351"/>
      <c r="D16" s="351"/>
      <c r="E16" s="351"/>
      <c r="F16" s="351"/>
      <c r="G16" s="351"/>
      <c r="H16" s="351"/>
      <c r="I16" s="351"/>
    </row>
    <row r="17" spans="1:9" x14ac:dyDescent="0.25">
      <c r="A17" s="351" t="s">
        <v>593</v>
      </c>
      <c r="B17" s="351"/>
      <c r="C17" s="351"/>
      <c r="D17" s="351"/>
      <c r="E17" s="351"/>
      <c r="F17" s="351"/>
      <c r="G17" s="351"/>
      <c r="H17" s="351"/>
      <c r="I17" s="351"/>
    </row>
    <row r="18" spans="1:9" x14ac:dyDescent="0.25">
      <c r="A18" s="351" t="s">
        <v>594</v>
      </c>
      <c r="B18" s="351"/>
      <c r="C18" s="351"/>
      <c r="D18" s="351"/>
      <c r="E18" s="351"/>
      <c r="F18" s="351"/>
      <c r="G18" s="351"/>
      <c r="H18" s="351"/>
      <c r="I18" s="351"/>
    </row>
    <row r="19" spans="1:9" x14ac:dyDescent="0.25">
      <c r="A19" s="351" t="s">
        <v>595</v>
      </c>
      <c r="B19" s="351"/>
      <c r="C19" s="351"/>
      <c r="D19" s="351"/>
      <c r="E19" s="351"/>
      <c r="F19" s="351"/>
      <c r="G19" s="351"/>
      <c r="H19" s="351"/>
      <c r="I19" s="351"/>
    </row>
  </sheetData>
  <mergeCells count="12">
    <mergeCell ref="A18:I18"/>
    <mergeCell ref="A19:I19"/>
    <mergeCell ref="A1:H1"/>
    <mergeCell ref="A2:B2"/>
    <mergeCell ref="D2:E2"/>
    <mergeCell ref="A8:B8"/>
    <mergeCell ref="D8:E8"/>
    <mergeCell ref="G2:H2"/>
    <mergeCell ref="A14:I14"/>
    <mergeCell ref="A15:I15"/>
    <mergeCell ref="A16:I16"/>
    <mergeCell ref="A17:I17"/>
  </mergeCell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A2" sqref="A2:D14"/>
    </sheetView>
  </sheetViews>
  <sheetFormatPr defaultRowHeight="15" x14ac:dyDescent="0.25"/>
  <cols>
    <col min="2" max="2" width="13.140625" bestFit="1" customWidth="1"/>
    <col min="3" max="3" width="15.140625" bestFit="1" customWidth="1"/>
    <col min="4" max="4" width="12.7109375" customWidth="1"/>
    <col min="5" max="5" width="4.7109375" customWidth="1"/>
    <col min="6" max="6" width="15" customWidth="1"/>
    <col min="7" max="7" width="14.5703125" customWidth="1"/>
  </cols>
  <sheetData>
    <row r="1" spans="1:10" x14ac:dyDescent="0.25">
      <c r="B1" s="356" t="s">
        <v>598</v>
      </c>
      <c r="C1" s="356"/>
    </row>
    <row r="2" spans="1:10" x14ac:dyDescent="0.25">
      <c r="B2" s="199" t="s">
        <v>596</v>
      </c>
      <c r="C2" s="199" t="s">
        <v>597</v>
      </c>
      <c r="D2" s="199" t="s">
        <v>348</v>
      </c>
      <c r="F2" s="199" t="s">
        <v>609</v>
      </c>
      <c r="G2" s="69">
        <v>5000</v>
      </c>
    </row>
    <row r="3" spans="1:10" x14ac:dyDescent="0.25">
      <c r="A3" s="199" t="s">
        <v>138</v>
      </c>
      <c r="B3" s="69">
        <f>aplicacao</f>
        <v>5000</v>
      </c>
      <c r="C3" s="69">
        <f>aplicacao</f>
        <v>5000</v>
      </c>
      <c r="D3" s="69">
        <f>C3-B3</f>
        <v>0</v>
      </c>
      <c r="F3" s="199" t="s">
        <v>579</v>
      </c>
      <c r="G3" s="91">
        <v>0.06</v>
      </c>
    </row>
    <row r="4" spans="1:10" x14ac:dyDescent="0.25">
      <c r="A4" s="199" t="s">
        <v>139</v>
      </c>
      <c r="B4" s="69">
        <f t="shared" ref="B4:B14" si="0">aplicacao*taxa+B3</f>
        <v>5300</v>
      </c>
      <c r="C4" s="69">
        <f>aplicacao*taxa+aplicacao</f>
        <v>5300</v>
      </c>
      <c r="D4" s="90">
        <f>C4-B4</f>
        <v>0</v>
      </c>
    </row>
    <row r="5" spans="1:10" x14ac:dyDescent="0.25">
      <c r="A5" s="199" t="s">
        <v>599</v>
      </c>
      <c r="B5" s="69">
        <f t="shared" si="0"/>
        <v>5600</v>
      </c>
      <c r="C5" s="69">
        <f t="shared" ref="C5:C14" si="1">C4*taxa+C4</f>
        <v>5618</v>
      </c>
      <c r="D5" s="90">
        <f t="shared" ref="D5:D14" si="2">C5-B5</f>
        <v>18</v>
      </c>
    </row>
    <row r="6" spans="1:10" x14ac:dyDescent="0.25">
      <c r="A6" s="199" t="s">
        <v>600</v>
      </c>
      <c r="B6" s="69">
        <f t="shared" si="0"/>
        <v>5900</v>
      </c>
      <c r="C6" s="69">
        <f t="shared" si="1"/>
        <v>5955.08</v>
      </c>
      <c r="D6" s="90">
        <f t="shared" si="2"/>
        <v>55.079999999999927</v>
      </c>
      <c r="F6" s="357" t="s">
        <v>610</v>
      </c>
      <c r="G6" s="357"/>
      <c r="H6" s="357"/>
      <c r="I6" s="357"/>
      <c r="J6" s="357"/>
    </row>
    <row r="7" spans="1:10" x14ac:dyDescent="0.25">
      <c r="A7" s="199" t="s">
        <v>601</v>
      </c>
      <c r="B7" s="69">
        <f t="shared" si="0"/>
        <v>6200</v>
      </c>
      <c r="C7" s="69">
        <f t="shared" si="1"/>
        <v>6312.3847999999998</v>
      </c>
      <c r="D7" s="90">
        <f t="shared" si="2"/>
        <v>112.38479999999981</v>
      </c>
      <c r="F7" s="357"/>
      <c r="G7" s="357"/>
      <c r="H7" s="357"/>
      <c r="I7" s="357"/>
      <c r="J7" s="357"/>
    </row>
    <row r="8" spans="1:10" ht="15" customHeight="1" x14ac:dyDescent="0.25">
      <c r="A8" s="199" t="s">
        <v>602</v>
      </c>
      <c r="B8" s="69">
        <f t="shared" si="0"/>
        <v>6500</v>
      </c>
      <c r="C8" s="69">
        <f t="shared" si="1"/>
        <v>6691.127888</v>
      </c>
      <c r="D8" s="90">
        <f t="shared" si="2"/>
        <v>191.12788799999998</v>
      </c>
      <c r="F8" s="358" t="s">
        <v>611</v>
      </c>
      <c r="G8" s="359"/>
      <c r="H8" s="359"/>
      <c r="I8" s="359"/>
      <c r="J8" s="360"/>
    </row>
    <row r="9" spans="1:10" x14ac:dyDescent="0.25">
      <c r="A9" s="199" t="s">
        <v>603</v>
      </c>
      <c r="B9" s="69">
        <f t="shared" si="0"/>
        <v>6800</v>
      </c>
      <c r="C9" s="69">
        <f t="shared" si="1"/>
        <v>7092.5955612799999</v>
      </c>
      <c r="D9" s="90">
        <f t="shared" si="2"/>
        <v>292.59556127999986</v>
      </c>
      <c r="F9" s="361"/>
      <c r="G9" s="362"/>
      <c r="H9" s="362"/>
      <c r="I9" s="362"/>
      <c r="J9" s="363"/>
    </row>
    <row r="10" spans="1:10" x14ac:dyDescent="0.25">
      <c r="A10" s="199" t="s">
        <v>604</v>
      </c>
      <c r="B10" s="69">
        <f t="shared" si="0"/>
        <v>7100</v>
      </c>
      <c r="C10" s="69">
        <f t="shared" si="1"/>
        <v>7518.1512949567996</v>
      </c>
      <c r="D10" s="90">
        <f t="shared" si="2"/>
        <v>418.15129495679957</v>
      </c>
      <c r="F10" s="364"/>
      <c r="G10" s="365"/>
      <c r="H10" s="365"/>
      <c r="I10" s="365"/>
      <c r="J10" s="366"/>
    </row>
    <row r="11" spans="1:10" x14ac:dyDescent="0.25">
      <c r="A11" s="199" t="s">
        <v>605</v>
      </c>
      <c r="B11" s="69">
        <f t="shared" si="0"/>
        <v>7400</v>
      </c>
      <c r="C11" s="69">
        <f t="shared" si="1"/>
        <v>7969.2403726542079</v>
      </c>
      <c r="D11" s="90">
        <f t="shared" si="2"/>
        <v>569.24037265420793</v>
      </c>
    </row>
    <row r="12" spans="1:10" x14ac:dyDescent="0.25">
      <c r="A12" s="199" t="s">
        <v>606</v>
      </c>
      <c r="B12" s="69">
        <f t="shared" si="0"/>
        <v>7700</v>
      </c>
      <c r="C12" s="69">
        <f t="shared" si="1"/>
        <v>8447.3947950134607</v>
      </c>
      <c r="D12" s="90">
        <f t="shared" si="2"/>
        <v>747.39479501346068</v>
      </c>
    </row>
    <row r="13" spans="1:10" x14ac:dyDescent="0.25">
      <c r="A13" s="199" t="s">
        <v>607</v>
      </c>
      <c r="B13" s="69">
        <f t="shared" si="0"/>
        <v>8000</v>
      </c>
      <c r="C13" s="69">
        <f t="shared" si="1"/>
        <v>8954.2384827142687</v>
      </c>
      <c r="D13" s="90">
        <f t="shared" si="2"/>
        <v>954.23848271426868</v>
      </c>
    </row>
    <row r="14" spans="1:10" x14ac:dyDescent="0.25">
      <c r="A14" s="199" t="s">
        <v>608</v>
      </c>
      <c r="B14" s="69">
        <f t="shared" si="0"/>
        <v>8300</v>
      </c>
      <c r="C14" s="69">
        <f t="shared" si="1"/>
        <v>9491.4927916771248</v>
      </c>
      <c r="D14" s="90">
        <f t="shared" si="2"/>
        <v>1191.4927916771248</v>
      </c>
    </row>
  </sheetData>
  <mergeCells count="3">
    <mergeCell ref="B1:C1"/>
    <mergeCell ref="F6:J7"/>
    <mergeCell ref="F8:J10"/>
  </mergeCell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topLeftCell="A7" workbookViewId="0">
      <selection activeCell="C9" sqref="C9"/>
    </sheetView>
  </sheetViews>
  <sheetFormatPr defaultRowHeight="15" x14ac:dyDescent="0.25"/>
  <cols>
    <col min="1" max="1" width="9.28515625" bestFit="1" customWidth="1"/>
    <col min="2" max="2" width="10.5703125" bestFit="1" customWidth="1"/>
    <col min="3" max="3" width="18.85546875" customWidth="1"/>
    <col min="4" max="4" width="35.85546875" customWidth="1"/>
    <col min="5" max="5" width="36.7109375" customWidth="1"/>
    <col min="7" max="7" width="12" customWidth="1"/>
    <col min="8" max="8" width="7.85546875" customWidth="1"/>
  </cols>
  <sheetData>
    <row r="1" spans="1:8" x14ac:dyDescent="0.25">
      <c r="A1" t="s">
        <v>421</v>
      </c>
      <c r="B1" t="s">
        <v>612</v>
      </c>
      <c r="C1" t="s">
        <v>613</v>
      </c>
      <c r="D1" t="s">
        <v>614</v>
      </c>
      <c r="E1" t="s">
        <v>615</v>
      </c>
      <c r="G1" t="s">
        <v>616</v>
      </c>
      <c r="H1" t="s">
        <v>39</v>
      </c>
    </row>
    <row r="2" spans="1:8" x14ac:dyDescent="0.25">
      <c r="A2" s="203">
        <v>43466</v>
      </c>
      <c r="B2" s="204">
        <v>500</v>
      </c>
      <c r="G2" t="s">
        <v>617</v>
      </c>
      <c r="H2" s="205">
        <f>_xlfn.FORECAST.ETS.STAT($B$2:$B$8,$A$2:$A$8,1,1,1)</f>
        <v>2E-3</v>
      </c>
    </row>
    <row r="3" spans="1:8" x14ac:dyDescent="0.25">
      <c r="A3" s="203">
        <v>43497</v>
      </c>
      <c r="B3" s="204">
        <v>400</v>
      </c>
      <c r="G3" t="s">
        <v>618</v>
      </c>
      <c r="H3" s="205">
        <f>_xlfn.FORECAST.ETS.STAT($B$2:$B$8,$A$2:$A$8,2,1,1)</f>
        <v>1E-3</v>
      </c>
    </row>
    <row r="4" spans="1:8" x14ac:dyDescent="0.25">
      <c r="A4" s="203">
        <v>43525</v>
      </c>
      <c r="B4" s="204">
        <v>350</v>
      </c>
      <c r="G4" t="s">
        <v>619</v>
      </c>
      <c r="H4" s="205">
        <f>_xlfn.FORECAST.ETS.STAT($B$2:$B$8,$A$2:$A$8,3,1,1)</f>
        <v>2.2204460492503131E-16</v>
      </c>
    </row>
    <row r="5" spans="1:8" x14ac:dyDescent="0.25">
      <c r="A5" s="203">
        <v>43556</v>
      </c>
      <c r="B5" s="204">
        <v>800</v>
      </c>
      <c r="G5" t="s">
        <v>620</v>
      </c>
      <c r="H5" s="205">
        <f>_xlfn.FORECAST.ETS.STAT($B$2:$B$8,$A$2:$A$8,4,1,1)</f>
        <v>0.57756565694870365</v>
      </c>
    </row>
    <row r="6" spans="1:8" x14ac:dyDescent="0.25">
      <c r="A6" s="203">
        <v>43586</v>
      </c>
      <c r="B6" s="204">
        <v>600</v>
      </c>
      <c r="G6" t="s">
        <v>621</v>
      </c>
      <c r="H6" s="205">
        <f>_xlfn.FORECAST.ETS.STAT($B$2:$B$8,$A$2:$A$8,5,1,1)</f>
        <v>0.32796501998499744</v>
      </c>
    </row>
    <row r="7" spans="1:8" x14ac:dyDescent="0.25">
      <c r="A7" s="203">
        <v>43617</v>
      </c>
      <c r="B7" s="204">
        <v>150</v>
      </c>
      <c r="G7" t="s">
        <v>622</v>
      </c>
      <c r="H7" s="205">
        <f>_xlfn.FORECAST.ETS.STAT($B$2:$B$8,$A$2:$A$8,6,1,1)</f>
        <v>139.5783670959367</v>
      </c>
    </row>
    <row r="8" spans="1:8" x14ac:dyDescent="0.25">
      <c r="A8" s="203">
        <v>43647</v>
      </c>
      <c r="B8" s="204">
        <v>350</v>
      </c>
      <c r="C8" s="204">
        <v>350</v>
      </c>
      <c r="D8" s="204">
        <v>350</v>
      </c>
      <c r="E8" s="204">
        <v>350</v>
      </c>
      <c r="G8" t="s">
        <v>623</v>
      </c>
      <c r="H8" s="205">
        <f>_xlfn.FORECAST.ETS.STAT($B$2:$B$8,$A$2:$A$8,7,1,1)</f>
        <v>188.0955876107146</v>
      </c>
    </row>
    <row r="9" spans="1:8" x14ac:dyDescent="0.25">
      <c r="A9" s="203">
        <v>43678</v>
      </c>
      <c r="C9" s="204">
        <f>_xlfn.FORECAST.ETS(A9,$B$2:$B$8,$A$2:$A$8,1,1)</f>
        <v>326.0461741679793</v>
      </c>
      <c r="D9" s="204">
        <f>C9-_xlfn.FORECAST.ETS.CONFINT(A9,$B$2:$B$8,$A$2:$A$8,0.95,1,1)</f>
        <v>-42.61440319991965</v>
      </c>
      <c r="E9" s="204">
        <f>C9+_xlfn.FORECAST.ETS.CONFINT(A9,$B$2:$B$8,$A$2:$A$8,0.95,1,1)</f>
        <v>694.70675153587831</v>
      </c>
    </row>
    <row r="10" spans="1:8" x14ac:dyDescent="0.25">
      <c r="A10" s="203">
        <v>43709</v>
      </c>
      <c r="C10" s="204">
        <f>_xlfn.FORECAST.ETS(A10,$B$2:$B$8,$A$2:$A$8,1,1)</f>
        <v>301.21961885235771</v>
      </c>
      <c r="D10" s="204">
        <f>C10-_xlfn.FORECAST.ETS.CONFINT(A10,$B$2:$B$8,$A$2:$A$8,0.95,1,1)</f>
        <v>-67.442617484406696</v>
      </c>
      <c r="E10" s="204">
        <f>C10+_xlfn.FORECAST.ETS.CONFINT(A10,$B$2:$B$8,$A$2:$A$8,0.95,1,1)</f>
        <v>669.88185518912212</v>
      </c>
    </row>
    <row r="11" spans="1:8" x14ac:dyDescent="0.25">
      <c r="A11" s="203">
        <v>43739</v>
      </c>
      <c r="C11" s="204">
        <f>_xlfn.FORECAST.ETS(A11,$B$2:$B$8,$A$2:$A$8,1,1)</f>
        <v>276.39306353673618</v>
      </c>
      <c r="D11" s="204">
        <f>C11-_xlfn.FORECAST.ETS.CONFINT(A11,$B$2:$B$8,$A$2:$A$8,0.95,1,1)</f>
        <v>-92.272122059578635</v>
      </c>
      <c r="E11" s="204">
        <f>C11+_xlfn.FORECAST.ETS.CONFINT(A11,$B$2:$B$8,$A$2:$A$8,0.95,1,1)</f>
        <v>645.05824913305105</v>
      </c>
    </row>
    <row r="12" spans="1:8" x14ac:dyDescent="0.25">
      <c r="A12" s="203">
        <v>43770</v>
      </c>
      <c r="C12" s="204">
        <f>_xlfn.FORECAST.ETS(A12,$B$2:$B$8,$A$2:$A$8,1,1)</f>
        <v>251.56650822111459</v>
      </c>
      <c r="D12" s="204">
        <f>C12-_xlfn.FORECAST.ETS.CONFINT(A12,$B$2:$B$8,$A$2:$A$8,0.95,1,1)</f>
        <v>-117.103285546015</v>
      </c>
      <c r="E12" s="204">
        <f>C12+_xlfn.FORECAST.ETS.CONFINT(A12,$B$2:$B$8,$A$2:$A$8,0.95,1,1)</f>
        <v>620.23630198824412</v>
      </c>
    </row>
    <row r="13" spans="1:8" x14ac:dyDescent="0.25">
      <c r="A13" s="203">
        <v>43800</v>
      </c>
      <c r="C13" s="204">
        <f>_xlfn.FORECAST.ETS(A13,$B$2:$B$8,$A$2:$A$8,1,1)</f>
        <v>226.73995290549306</v>
      </c>
      <c r="D13" s="204">
        <f>C13-_xlfn.FORECAST.ETS.CONFINT(A13,$B$2:$B$8,$A$2:$A$8,0.95,1,1)</f>
        <v>-141.93647652642068</v>
      </c>
      <c r="E13" s="204">
        <f>C13+_xlfn.FORECAST.ETS.CONFINT(A13,$B$2:$B$8,$A$2:$A$8,0.95,1,1)</f>
        <v>595.41638233740673</v>
      </c>
    </row>
  </sheetData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sqref="A1:B13"/>
    </sheetView>
  </sheetViews>
  <sheetFormatPr defaultRowHeight="15" x14ac:dyDescent="0.25"/>
  <cols>
    <col min="1" max="1" width="12.7109375" customWidth="1"/>
    <col min="2" max="2" width="19" customWidth="1"/>
  </cols>
  <sheetData>
    <row r="1" spans="1:2" ht="21" customHeight="1" x14ac:dyDescent="0.25">
      <c r="A1" s="201" t="s">
        <v>421</v>
      </c>
      <c r="B1" s="201" t="s">
        <v>612</v>
      </c>
    </row>
    <row r="2" spans="1:2" x14ac:dyDescent="0.25">
      <c r="A2" s="202">
        <v>43466</v>
      </c>
      <c r="B2" s="152">
        <v>500</v>
      </c>
    </row>
    <row r="3" spans="1:2" x14ac:dyDescent="0.25">
      <c r="A3" s="202">
        <v>43497</v>
      </c>
      <c r="B3" s="152">
        <v>400</v>
      </c>
    </row>
    <row r="4" spans="1:2" x14ac:dyDescent="0.25">
      <c r="A4" s="202">
        <v>43525</v>
      </c>
      <c r="B4" s="152">
        <v>350</v>
      </c>
    </row>
    <row r="5" spans="1:2" x14ac:dyDescent="0.25">
      <c r="A5" s="202">
        <v>43556</v>
      </c>
      <c r="B5" s="152">
        <v>800</v>
      </c>
    </row>
    <row r="6" spans="1:2" x14ac:dyDescent="0.25">
      <c r="A6" s="202">
        <v>43586</v>
      </c>
      <c r="B6" s="152">
        <v>600</v>
      </c>
    </row>
    <row r="7" spans="1:2" x14ac:dyDescent="0.25">
      <c r="A7" s="202">
        <v>43617</v>
      </c>
      <c r="B7" s="152">
        <v>150</v>
      </c>
    </row>
    <row r="8" spans="1:2" x14ac:dyDescent="0.25">
      <c r="A8" s="202">
        <v>43647</v>
      </c>
      <c r="B8" s="152">
        <v>350</v>
      </c>
    </row>
    <row r="9" spans="1:2" x14ac:dyDescent="0.25">
      <c r="A9" s="202">
        <v>43678</v>
      </c>
      <c r="B9" s="152"/>
    </row>
    <row r="10" spans="1:2" x14ac:dyDescent="0.25">
      <c r="A10" s="202">
        <v>43709</v>
      </c>
      <c r="B10" s="152"/>
    </row>
    <row r="11" spans="1:2" x14ac:dyDescent="0.25">
      <c r="A11" s="202">
        <v>43739</v>
      </c>
      <c r="B11" s="152"/>
    </row>
    <row r="12" spans="1:2" x14ac:dyDescent="0.25">
      <c r="A12" s="202">
        <v>43770</v>
      </c>
      <c r="B12" s="152"/>
    </row>
    <row r="13" spans="1:2" x14ac:dyDescent="0.25">
      <c r="A13" s="202">
        <v>43800</v>
      </c>
      <c r="B13" s="152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4"/>
  <sheetViews>
    <sheetView topLeftCell="A24" workbookViewId="0">
      <selection activeCell="B30" sqref="B30"/>
    </sheetView>
  </sheetViews>
  <sheetFormatPr defaultRowHeight="15" x14ac:dyDescent="0.25"/>
  <cols>
    <col min="1" max="1" width="16.140625" customWidth="1"/>
    <col min="2" max="2" width="13.42578125" bestFit="1" customWidth="1"/>
    <col min="4" max="4" width="12.7109375" bestFit="1" customWidth="1"/>
    <col min="5" max="5" width="17.7109375" customWidth="1"/>
    <col min="6" max="6" width="21" customWidth="1"/>
  </cols>
  <sheetData>
    <row r="1" spans="1:6" ht="27" customHeight="1" x14ac:dyDescent="0.25">
      <c r="A1" s="133" t="s">
        <v>38</v>
      </c>
      <c r="B1" s="133" t="s">
        <v>230</v>
      </c>
      <c r="C1" s="133" t="s">
        <v>61</v>
      </c>
      <c r="D1" s="133" t="s">
        <v>227</v>
      </c>
      <c r="E1" s="133" t="s">
        <v>624</v>
      </c>
    </row>
    <row r="2" spans="1:6" x14ac:dyDescent="0.25">
      <c r="A2" s="114" t="s">
        <v>625</v>
      </c>
      <c r="B2" s="207">
        <v>75</v>
      </c>
      <c r="C2" s="114">
        <v>15</v>
      </c>
      <c r="D2" s="208">
        <v>0.05</v>
      </c>
      <c r="E2" s="207">
        <f>B2+B2*D2</f>
        <v>78.75</v>
      </c>
    </row>
    <row r="3" spans="1:6" x14ac:dyDescent="0.25">
      <c r="A3" s="114" t="s">
        <v>626</v>
      </c>
      <c r="B3" s="207">
        <v>120</v>
      </c>
      <c r="C3" s="114">
        <v>25</v>
      </c>
      <c r="D3" s="208">
        <v>0.25000000000000006</v>
      </c>
      <c r="E3" s="207">
        <f t="shared" ref="E3:E9" si="0">B3+B3*D3</f>
        <v>150</v>
      </c>
    </row>
    <row r="4" spans="1:6" x14ac:dyDescent="0.25">
      <c r="A4" s="114" t="s">
        <v>128</v>
      </c>
      <c r="B4" s="207">
        <v>80</v>
      </c>
      <c r="C4" s="114">
        <v>40</v>
      </c>
      <c r="D4" s="208">
        <v>0.02</v>
      </c>
      <c r="E4" s="207">
        <f t="shared" si="0"/>
        <v>81.599999999999994</v>
      </c>
    </row>
    <row r="5" spans="1:6" x14ac:dyDescent="0.25">
      <c r="A5" s="114" t="s">
        <v>356</v>
      </c>
      <c r="B5" s="207">
        <v>20</v>
      </c>
      <c r="C5" s="114">
        <v>180</v>
      </c>
      <c r="D5" s="208">
        <v>0.03</v>
      </c>
      <c r="E5" s="207">
        <f t="shared" si="0"/>
        <v>20.6</v>
      </c>
    </row>
    <row r="6" spans="1:6" x14ac:dyDescent="0.25">
      <c r="A6" s="114" t="s">
        <v>357</v>
      </c>
      <c r="B6" s="207">
        <v>65</v>
      </c>
      <c r="C6" s="114">
        <v>200</v>
      </c>
      <c r="D6" s="208">
        <v>0.84615384615384592</v>
      </c>
      <c r="E6" s="207">
        <f t="shared" si="0"/>
        <v>119.99999999999999</v>
      </c>
    </row>
    <row r="7" spans="1:6" x14ac:dyDescent="0.25">
      <c r="A7" s="114" t="s">
        <v>627</v>
      </c>
      <c r="B7" s="207">
        <v>37</v>
      </c>
      <c r="C7" s="114">
        <v>60</v>
      </c>
      <c r="D7" s="208">
        <v>0.05</v>
      </c>
      <c r="E7" s="207">
        <f t="shared" si="0"/>
        <v>38.85</v>
      </c>
    </row>
    <row r="8" spans="1:6" x14ac:dyDescent="0.25">
      <c r="A8" s="114" t="s">
        <v>628</v>
      </c>
      <c r="B8" s="207">
        <v>15</v>
      </c>
      <c r="C8" s="114">
        <v>300</v>
      </c>
      <c r="D8" s="208">
        <v>7.0000000000000007E-2</v>
      </c>
      <c r="E8" s="207">
        <f t="shared" si="0"/>
        <v>16.05</v>
      </c>
    </row>
    <row r="9" spans="1:6" x14ac:dyDescent="0.25">
      <c r="A9" s="114" t="s">
        <v>629</v>
      </c>
      <c r="B9" s="207">
        <v>150</v>
      </c>
      <c r="C9" s="114">
        <v>10</v>
      </c>
      <c r="D9" s="208">
        <v>0.33333333333333343</v>
      </c>
      <c r="E9" s="207">
        <f t="shared" si="0"/>
        <v>200</v>
      </c>
      <c r="F9" s="210" t="s">
        <v>630</v>
      </c>
    </row>
    <row r="10" spans="1:6" x14ac:dyDescent="0.25">
      <c r="D10" s="206" t="s">
        <v>505</v>
      </c>
      <c r="E10" s="209">
        <f>SUM(E2:E9)</f>
        <v>705.85000000000014</v>
      </c>
      <c r="F10" s="210" t="str">
        <f>IF(E10&gt;=700,"Meta","Meta não Atingida")</f>
        <v>Meta</v>
      </c>
    </row>
    <row r="12" spans="1:6" x14ac:dyDescent="0.25">
      <c r="A12" s="114" t="s">
        <v>38</v>
      </c>
      <c r="B12" s="114" t="s">
        <v>631</v>
      </c>
      <c r="C12" s="114" t="s">
        <v>632</v>
      </c>
      <c r="D12" s="114" t="s">
        <v>624</v>
      </c>
    </row>
    <row r="13" spans="1:6" x14ac:dyDescent="0.25">
      <c r="A13" s="114" t="s">
        <v>633</v>
      </c>
      <c r="B13" s="211">
        <v>49.99</v>
      </c>
      <c r="C13" s="212">
        <v>0.1</v>
      </c>
      <c r="D13" s="213">
        <f>B13-B13*C13</f>
        <v>44.991</v>
      </c>
    </row>
    <row r="14" spans="1:6" x14ac:dyDescent="0.25">
      <c r="A14" s="114" t="s">
        <v>357</v>
      </c>
      <c r="B14" s="211">
        <v>69.900000000000006</v>
      </c>
      <c r="C14" s="212">
        <v>7.0000000000000007E-2</v>
      </c>
      <c r="D14" s="213">
        <f t="shared" ref="D14:D17" si="1">B14-B14*C14</f>
        <v>65.007000000000005</v>
      </c>
    </row>
    <row r="15" spans="1:6" x14ac:dyDescent="0.25">
      <c r="A15" s="114" t="s">
        <v>625</v>
      </c>
      <c r="B15" s="211">
        <v>129</v>
      </c>
      <c r="C15" s="212">
        <v>0.23255813953488377</v>
      </c>
      <c r="D15" s="213">
        <f t="shared" si="1"/>
        <v>99</v>
      </c>
    </row>
    <row r="16" spans="1:6" x14ac:dyDescent="0.25">
      <c r="A16" s="114" t="s">
        <v>128</v>
      </c>
      <c r="B16" s="211">
        <v>85</v>
      </c>
      <c r="C16" s="212">
        <v>0.1764705882352941</v>
      </c>
      <c r="D16" s="213">
        <f t="shared" si="1"/>
        <v>70</v>
      </c>
    </row>
    <row r="17" spans="1:5" x14ac:dyDescent="0.25">
      <c r="A17" s="114" t="s">
        <v>634</v>
      </c>
      <c r="B17" s="211">
        <v>30</v>
      </c>
      <c r="C17" s="212">
        <v>0.04</v>
      </c>
      <c r="D17" s="213">
        <f t="shared" si="1"/>
        <v>28.8</v>
      </c>
      <c r="E17" s="114" t="s">
        <v>630</v>
      </c>
    </row>
    <row r="18" spans="1:5" x14ac:dyDescent="0.25">
      <c r="C18" s="214" t="s">
        <v>63</v>
      </c>
      <c r="D18" s="215">
        <f>SUM(D13:D17)</f>
        <v>307.798</v>
      </c>
      <c r="E18" s="114" t="str">
        <f>IF(D18&lt;300,"Meta não atingida","Meta OK")</f>
        <v>Meta OK</v>
      </c>
    </row>
    <row r="20" spans="1:5" x14ac:dyDescent="0.25">
      <c r="A20" s="114" t="s">
        <v>421</v>
      </c>
      <c r="B20" s="119" t="s">
        <v>635</v>
      </c>
    </row>
    <row r="21" spans="1:5" x14ac:dyDescent="0.25">
      <c r="A21" s="114" t="s">
        <v>636</v>
      </c>
      <c r="B21" s="197">
        <v>6000</v>
      </c>
    </row>
    <row r="22" spans="1:5" x14ac:dyDescent="0.25">
      <c r="A22" s="114" t="s">
        <v>637</v>
      </c>
      <c r="B22" s="197">
        <v>2500</v>
      </c>
    </row>
    <row r="23" spans="1:5" x14ac:dyDescent="0.25">
      <c r="A23" s="114" t="s">
        <v>638</v>
      </c>
      <c r="B23" s="197">
        <v>3800</v>
      </c>
      <c r="D23" s="197" t="s">
        <v>63</v>
      </c>
      <c r="E23" s="197">
        <f>SUM(B21:B27)</f>
        <v>41999.999999999993</v>
      </c>
    </row>
    <row r="24" spans="1:5" x14ac:dyDescent="0.25">
      <c r="A24" s="114" t="s">
        <v>639</v>
      </c>
      <c r="B24" s="197">
        <v>4300</v>
      </c>
      <c r="D24" s="197" t="s">
        <v>643</v>
      </c>
      <c r="E24" s="197">
        <v>40000</v>
      </c>
    </row>
    <row r="25" spans="1:5" x14ac:dyDescent="0.25">
      <c r="A25" s="114" t="s">
        <v>640</v>
      </c>
      <c r="B25" s="197">
        <v>8300</v>
      </c>
    </row>
    <row r="26" spans="1:5" x14ac:dyDescent="0.25">
      <c r="A26" s="114" t="s">
        <v>641</v>
      </c>
      <c r="B26" s="197">
        <v>7000</v>
      </c>
    </row>
    <row r="27" spans="1:5" x14ac:dyDescent="0.25">
      <c r="A27" s="114" t="s">
        <v>642</v>
      </c>
      <c r="B27" s="119">
        <v>10099.999999999995</v>
      </c>
    </row>
    <row r="29" spans="1:5" x14ac:dyDescent="0.25">
      <c r="A29" s="367" t="s">
        <v>286</v>
      </c>
      <c r="B29" s="367"/>
    </row>
    <row r="30" spans="1:5" x14ac:dyDescent="0.25">
      <c r="A30" s="114" t="s">
        <v>467</v>
      </c>
      <c r="B30" s="72">
        <v>2400</v>
      </c>
    </row>
    <row r="31" spans="1:5" x14ac:dyDescent="0.25">
      <c r="A31" s="114" t="s">
        <v>468</v>
      </c>
      <c r="B31" s="47">
        <f>B30*C31</f>
        <v>216</v>
      </c>
      <c r="C31" s="91">
        <v>0.09</v>
      </c>
    </row>
    <row r="32" spans="1:5" x14ac:dyDescent="0.25">
      <c r="A32" s="114" t="s">
        <v>644</v>
      </c>
      <c r="B32" s="47">
        <f>B30*C32</f>
        <v>144</v>
      </c>
      <c r="C32" s="91">
        <v>0.06</v>
      </c>
    </row>
    <row r="33" spans="1:3" x14ac:dyDescent="0.25">
      <c r="A33" s="114" t="s">
        <v>645</v>
      </c>
      <c r="B33" s="47">
        <f>B30*C33</f>
        <v>240</v>
      </c>
      <c r="C33" s="91">
        <v>0.1</v>
      </c>
    </row>
    <row r="34" spans="1:3" x14ac:dyDescent="0.25">
      <c r="A34" s="114" t="s">
        <v>646</v>
      </c>
      <c r="B34" s="47">
        <f>B30-B31-B32-B33</f>
        <v>1800</v>
      </c>
    </row>
  </sheetData>
  <mergeCells count="1">
    <mergeCell ref="A29:B29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workbookViewId="0">
      <selection activeCell="D17" sqref="D17"/>
    </sheetView>
  </sheetViews>
  <sheetFormatPr defaultRowHeight="15" x14ac:dyDescent="0.25"/>
  <cols>
    <col min="1" max="1" width="22" customWidth="1"/>
    <col min="2" max="2" width="13.28515625" bestFit="1" customWidth="1"/>
    <col min="3" max="13" width="12.140625" bestFit="1" customWidth="1"/>
  </cols>
  <sheetData>
    <row r="1" spans="1:14" ht="27.75" customHeight="1" x14ac:dyDescent="0.25">
      <c r="A1" s="368" t="s">
        <v>647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</row>
    <row r="2" spans="1:14" x14ac:dyDescent="0.25">
      <c r="A2" s="198" t="s">
        <v>61</v>
      </c>
      <c r="B2" s="218">
        <v>700</v>
      </c>
    </row>
    <row r="3" spans="1:14" x14ac:dyDescent="0.25">
      <c r="A3" s="198" t="s">
        <v>230</v>
      </c>
      <c r="B3" s="219">
        <v>14</v>
      </c>
    </row>
    <row r="4" spans="1:14" x14ac:dyDescent="0.25">
      <c r="A4" s="198" t="s">
        <v>648</v>
      </c>
      <c r="B4" s="219">
        <v>10</v>
      </c>
    </row>
    <row r="5" spans="1:14" x14ac:dyDescent="0.25">
      <c r="A5" s="198" t="s">
        <v>649</v>
      </c>
      <c r="B5" s="220">
        <v>0.13</v>
      </c>
    </row>
    <row r="7" spans="1:14" x14ac:dyDescent="0.25">
      <c r="A7" s="216" t="s">
        <v>650</v>
      </c>
      <c r="B7" s="217">
        <v>7.0000000000000007E-2</v>
      </c>
      <c r="C7" s="217">
        <v>0.09</v>
      </c>
      <c r="D7" s="217">
        <v>0.09</v>
      </c>
      <c r="E7" s="217">
        <v>0.08</v>
      </c>
      <c r="F7" s="217">
        <v>0.1</v>
      </c>
      <c r="G7" s="217">
        <v>0.08</v>
      </c>
      <c r="H7" s="217">
        <v>0.09</v>
      </c>
      <c r="I7" s="217">
        <v>0.12</v>
      </c>
      <c r="J7" s="217">
        <v>0.08</v>
      </c>
      <c r="K7" s="217">
        <v>7.0000000000000007E-2</v>
      </c>
      <c r="L7" s="217">
        <v>0.09</v>
      </c>
      <c r="M7" s="217">
        <v>0.09</v>
      </c>
    </row>
    <row r="8" spans="1:14" x14ac:dyDescent="0.25">
      <c r="A8" s="216" t="s">
        <v>651</v>
      </c>
      <c r="B8" s="216" t="s">
        <v>138</v>
      </c>
      <c r="C8" s="216" t="s">
        <v>139</v>
      </c>
      <c r="D8" s="216" t="s">
        <v>599</v>
      </c>
      <c r="E8" s="216" t="s">
        <v>600</v>
      </c>
      <c r="F8" s="216" t="s">
        <v>601</v>
      </c>
      <c r="G8" s="216" t="s">
        <v>602</v>
      </c>
      <c r="H8" s="216" t="s">
        <v>603</v>
      </c>
      <c r="I8" s="216" t="s">
        <v>604</v>
      </c>
      <c r="J8" s="216" t="s">
        <v>605</v>
      </c>
      <c r="K8" s="216" t="s">
        <v>606</v>
      </c>
      <c r="L8" s="216" t="s">
        <v>607</v>
      </c>
      <c r="M8" s="216" t="s">
        <v>608</v>
      </c>
    </row>
    <row r="9" spans="1:14" x14ac:dyDescent="0.25">
      <c r="A9" s="221" t="s">
        <v>652</v>
      </c>
      <c r="B9" s="197">
        <f>$B$2*B7</f>
        <v>49.000000000000007</v>
      </c>
      <c r="C9" s="197">
        <f t="shared" ref="C9:M9" si="0">$B$2*C7</f>
        <v>63</v>
      </c>
      <c r="D9" s="197">
        <f t="shared" si="0"/>
        <v>63</v>
      </c>
      <c r="E9" s="197">
        <f t="shared" si="0"/>
        <v>56</v>
      </c>
      <c r="F9" s="197">
        <f t="shared" si="0"/>
        <v>70</v>
      </c>
      <c r="G9" s="197">
        <f t="shared" si="0"/>
        <v>56</v>
      </c>
      <c r="H9" s="197">
        <f t="shared" si="0"/>
        <v>63</v>
      </c>
      <c r="I9" s="197">
        <f t="shared" si="0"/>
        <v>84</v>
      </c>
      <c r="J9" s="197">
        <f t="shared" si="0"/>
        <v>56</v>
      </c>
      <c r="K9" s="197">
        <f t="shared" si="0"/>
        <v>49.000000000000007</v>
      </c>
      <c r="L9" s="197">
        <f t="shared" si="0"/>
        <v>63</v>
      </c>
      <c r="M9" s="197">
        <f t="shared" si="0"/>
        <v>63</v>
      </c>
    </row>
    <row r="10" spans="1:14" x14ac:dyDescent="0.25">
      <c r="A10" s="221" t="s">
        <v>653</v>
      </c>
      <c r="B10" s="90">
        <f>$B$3*B9</f>
        <v>686.00000000000011</v>
      </c>
      <c r="C10" s="90">
        <f t="shared" ref="C10:M10" si="1">$B$3*C9</f>
        <v>882</v>
      </c>
      <c r="D10" s="90">
        <f t="shared" si="1"/>
        <v>882</v>
      </c>
      <c r="E10" s="90">
        <f t="shared" si="1"/>
        <v>784</v>
      </c>
      <c r="F10" s="90">
        <f t="shared" si="1"/>
        <v>980</v>
      </c>
      <c r="G10" s="90">
        <f t="shared" si="1"/>
        <v>784</v>
      </c>
      <c r="H10" s="90">
        <f t="shared" si="1"/>
        <v>882</v>
      </c>
      <c r="I10" s="90">
        <f t="shared" si="1"/>
        <v>1176</v>
      </c>
      <c r="J10" s="90">
        <f t="shared" si="1"/>
        <v>784</v>
      </c>
      <c r="K10" s="90">
        <f t="shared" si="1"/>
        <v>686.00000000000011</v>
      </c>
      <c r="L10" s="90">
        <f t="shared" si="1"/>
        <v>882</v>
      </c>
      <c r="M10" s="90">
        <f t="shared" si="1"/>
        <v>882</v>
      </c>
    </row>
    <row r="11" spans="1:14" x14ac:dyDescent="0.25">
      <c r="A11" s="221" t="s">
        <v>654</v>
      </c>
      <c r="B11" s="90">
        <f>$B$4*B9</f>
        <v>490.00000000000006</v>
      </c>
      <c r="C11" s="90">
        <f t="shared" ref="C11:M11" si="2">$B$4*C9</f>
        <v>630</v>
      </c>
      <c r="D11" s="90">
        <f t="shared" si="2"/>
        <v>630</v>
      </c>
      <c r="E11" s="90">
        <f t="shared" si="2"/>
        <v>560</v>
      </c>
      <c r="F11" s="90">
        <f t="shared" si="2"/>
        <v>700</v>
      </c>
      <c r="G11" s="90">
        <f t="shared" si="2"/>
        <v>560</v>
      </c>
      <c r="H11" s="90">
        <f t="shared" si="2"/>
        <v>630</v>
      </c>
      <c r="I11" s="90">
        <f t="shared" si="2"/>
        <v>840</v>
      </c>
      <c r="J11" s="90">
        <f t="shared" si="2"/>
        <v>560</v>
      </c>
      <c r="K11" s="90">
        <f t="shared" si="2"/>
        <v>490.00000000000006</v>
      </c>
      <c r="L11" s="90">
        <f t="shared" si="2"/>
        <v>630</v>
      </c>
      <c r="M11" s="90">
        <f t="shared" si="2"/>
        <v>630</v>
      </c>
      <c r="N11" s="90"/>
    </row>
    <row r="12" spans="1:14" x14ac:dyDescent="0.25">
      <c r="A12" s="221" t="s">
        <v>649</v>
      </c>
      <c r="B12" s="90">
        <f>B10*$B$5</f>
        <v>89.180000000000021</v>
      </c>
      <c r="C12" s="90">
        <f t="shared" ref="C12:M12" si="3">C10*$B$5</f>
        <v>114.66000000000001</v>
      </c>
      <c r="D12" s="90">
        <f t="shared" si="3"/>
        <v>114.66000000000001</v>
      </c>
      <c r="E12" s="90">
        <f t="shared" si="3"/>
        <v>101.92</v>
      </c>
      <c r="F12" s="90">
        <f t="shared" si="3"/>
        <v>127.4</v>
      </c>
      <c r="G12" s="90">
        <f t="shared" si="3"/>
        <v>101.92</v>
      </c>
      <c r="H12" s="90">
        <f t="shared" si="3"/>
        <v>114.66000000000001</v>
      </c>
      <c r="I12" s="90">
        <f t="shared" si="3"/>
        <v>152.88</v>
      </c>
      <c r="J12" s="90">
        <f t="shared" si="3"/>
        <v>101.92</v>
      </c>
      <c r="K12" s="90">
        <f t="shared" si="3"/>
        <v>89.180000000000021</v>
      </c>
      <c r="L12" s="90">
        <f t="shared" si="3"/>
        <v>114.66000000000001</v>
      </c>
      <c r="M12" s="90">
        <f t="shared" si="3"/>
        <v>114.66000000000001</v>
      </c>
    </row>
    <row r="13" spans="1:14" x14ac:dyDescent="0.25">
      <c r="A13" s="221" t="s">
        <v>655</v>
      </c>
      <c r="B13" s="90">
        <f>B10*12%</f>
        <v>82.320000000000007</v>
      </c>
      <c r="C13" s="90">
        <f t="shared" ref="C13:M13" si="4">C10*12%</f>
        <v>105.83999999999999</v>
      </c>
      <c r="D13" s="90">
        <f t="shared" si="4"/>
        <v>105.83999999999999</v>
      </c>
      <c r="E13" s="90">
        <f t="shared" si="4"/>
        <v>94.08</v>
      </c>
      <c r="F13" s="90">
        <f t="shared" si="4"/>
        <v>117.6</v>
      </c>
      <c r="G13" s="90">
        <f t="shared" si="4"/>
        <v>94.08</v>
      </c>
      <c r="H13" s="90">
        <f t="shared" si="4"/>
        <v>105.83999999999999</v>
      </c>
      <c r="I13" s="90">
        <f t="shared" si="4"/>
        <v>141.12</v>
      </c>
      <c r="J13" s="90">
        <f t="shared" si="4"/>
        <v>94.08</v>
      </c>
      <c r="K13" s="90">
        <f t="shared" si="4"/>
        <v>82.320000000000007</v>
      </c>
      <c r="L13" s="90">
        <f t="shared" si="4"/>
        <v>105.83999999999999</v>
      </c>
      <c r="M13" s="90">
        <f t="shared" si="4"/>
        <v>105.83999999999999</v>
      </c>
    </row>
    <row r="14" spans="1:14" x14ac:dyDescent="0.25">
      <c r="A14" s="221" t="s">
        <v>656</v>
      </c>
      <c r="B14" s="90">
        <f>B10-(B11+B12+B13)</f>
        <v>24.5</v>
      </c>
      <c r="C14" s="90">
        <f t="shared" ref="C14:M14" si="5">C10-(C11+C12+C13)</f>
        <v>31.5</v>
      </c>
      <c r="D14" s="90">
        <f t="shared" si="5"/>
        <v>31.5</v>
      </c>
      <c r="E14" s="90">
        <f t="shared" si="5"/>
        <v>28</v>
      </c>
      <c r="F14" s="90">
        <f t="shared" si="5"/>
        <v>35</v>
      </c>
      <c r="G14" s="90">
        <f t="shared" si="5"/>
        <v>28</v>
      </c>
      <c r="H14" s="90">
        <f t="shared" si="5"/>
        <v>31.5</v>
      </c>
      <c r="I14" s="90">
        <f t="shared" si="5"/>
        <v>42</v>
      </c>
      <c r="J14" s="90">
        <f t="shared" si="5"/>
        <v>28</v>
      </c>
      <c r="K14" s="90">
        <f t="shared" si="5"/>
        <v>24.5</v>
      </c>
      <c r="L14" s="90">
        <f t="shared" si="5"/>
        <v>31.5</v>
      </c>
      <c r="M14" s="90">
        <f t="shared" si="5"/>
        <v>31.5</v>
      </c>
    </row>
    <row r="16" spans="1:14" x14ac:dyDescent="0.25">
      <c r="A16" s="221" t="s">
        <v>53</v>
      </c>
      <c r="B16" s="47">
        <f>SUM(B10:M10)</f>
        <v>10290</v>
      </c>
    </row>
    <row r="17" spans="1:2" x14ac:dyDescent="0.25">
      <c r="A17" s="221" t="s">
        <v>657</v>
      </c>
      <c r="B17" s="47">
        <f>SUM(B14:M14)</f>
        <v>367.5</v>
      </c>
    </row>
    <row r="18" spans="1:2" x14ac:dyDescent="0.25">
      <c r="A18" s="221" t="s">
        <v>658</v>
      </c>
      <c r="B18" s="222">
        <f>B17/B16</f>
        <v>3.5714285714285712E-2</v>
      </c>
    </row>
  </sheetData>
  <scenarios current="2" show="2">
    <scenario name="Cenário Atual" locked="1" count="3" user="Helena" comment="Criado por Helena em 24/12/2022">
      <inputCells r="B2" val="800"/>
      <inputCells r="B3" val="18" numFmtId="44"/>
      <inputCells r="B4" val="12" numFmtId="44"/>
    </scenario>
    <scenario name="Cenário Otimista" locked="1" count="3" user="Helena" comment="Criado por Helena em 24/12/2022">
      <inputCells r="B2" val="1200"/>
      <inputCells r="B3" val="22" numFmtId="44"/>
      <inputCells r="B4" val="10" numFmtId="44"/>
    </scenario>
    <scenario name="Cenário Pessimista" locked="1" count="3" user="Helena" comment="Criado por Helena em 24/12/2022">
      <inputCells r="B2" val="700"/>
      <inputCells r="B3" val="14" numFmtId="44"/>
      <inputCells r="B4" val="10" numFmtId="44"/>
    </scenario>
  </scenarios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topLeftCell="E1" workbookViewId="0">
      <selection activeCell="A7" sqref="A7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659</v>
      </c>
      <c r="C1" s="225" t="s">
        <v>659</v>
      </c>
      <c r="D1" s="225" t="s">
        <v>659</v>
      </c>
      <c r="E1" s="225" t="s">
        <v>659</v>
      </c>
      <c r="F1" s="225" t="s">
        <v>659</v>
      </c>
      <c r="G1" s="225" t="s">
        <v>659</v>
      </c>
      <c r="H1" s="225" t="s">
        <v>659</v>
      </c>
      <c r="I1" s="225" t="s">
        <v>659</v>
      </c>
    </row>
    <row r="2" spans="1:9" x14ac:dyDescent="0.25">
      <c r="A2" s="223"/>
      <c r="B2" s="225" t="s">
        <v>659</v>
      </c>
      <c r="C2" s="225" t="s">
        <v>659</v>
      </c>
      <c r="D2" s="225" t="s">
        <v>659</v>
      </c>
      <c r="E2" s="225" t="s">
        <v>659</v>
      </c>
      <c r="F2" s="225" t="s">
        <v>659</v>
      </c>
      <c r="G2" s="225" t="s">
        <v>659</v>
      </c>
      <c r="H2" s="225" t="s">
        <v>659</v>
      </c>
      <c r="I2" s="225" t="s">
        <v>659</v>
      </c>
    </row>
    <row r="3" spans="1:9" x14ac:dyDescent="0.25">
      <c r="A3" s="223"/>
      <c r="B3" s="225" t="s">
        <v>659</v>
      </c>
      <c r="C3" s="225" t="s">
        <v>659</v>
      </c>
      <c r="D3" s="225" t="s">
        <v>659</v>
      </c>
      <c r="E3" s="225" t="s">
        <v>659</v>
      </c>
      <c r="F3" s="225" t="s">
        <v>659</v>
      </c>
      <c r="G3" s="225" t="s">
        <v>659</v>
      </c>
      <c r="H3" s="225" t="s">
        <v>659</v>
      </c>
      <c r="I3" s="225" t="s">
        <v>659</v>
      </c>
    </row>
    <row r="4" spans="1:9" x14ac:dyDescent="0.25">
      <c r="A4" s="223"/>
      <c r="B4" s="225" t="s">
        <v>659</v>
      </c>
      <c r="C4" s="225" t="s">
        <v>659</v>
      </c>
      <c r="D4" s="225" t="s">
        <v>659</v>
      </c>
      <c r="E4" s="225" t="s">
        <v>659</v>
      </c>
      <c r="F4" s="225" t="s">
        <v>659</v>
      </c>
      <c r="G4" s="225" t="s">
        <v>659</v>
      </c>
      <c r="H4" s="225" t="s">
        <v>659</v>
      </c>
      <c r="I4" s="225" t="s">
        <v>659</v>
      </c>
    </row>
    <row r="5" spans="1:9" x14ac:dyDescent="0.25">
      <c r="A5" s="228" t="s">
        <v>659</v>
      </c>
      <c r="B5" s="225" t="s">
        <v>659</v>
      </c>
      <c r="C5" s="225" t="s">
        <v>659</v>
      </c>
      <c r="D5" s="225" t="s">
        <v>659</v>
      </c>
      <c r="E5" s="225" t="s">
        <v>659</v>
      </c>
      <c r="F5" s="225" t="s">
        <v>659</v>
      </c>
      <c r="G5" s="225" t="s">
        <v>659</v>
      </c>
      <c r="H5" s="225" t="s">
        <v>659</v>
      </c>
      <c r="I5" s="225" t="s">
        <v>659</v>
      </c>
    </row>
    <row r="6" spans="1:9" x14ac:dyDescent="0.25">
      <c r="A6" s="227" t="s">
        <v>660</v>
      </c>
      <c r="B6" s="225" t="s">
        <v>659</v>
      </c>
      <c r="C6" s="225" t="s">
        <v>659</v>
      </c>
      <c r="D6" s="225" t="s">
        <v>659</v>
      </c>
      <c r="E6" s="225" t="s">
        <v>659</v>
      </c>
      <c r="F6" s="225" t="s">
        <v>659</v>
      </c>
      <c r="G6" s="225" t="s">
        <v>659</v>
      </c>
      <c r="H6" s="225" t="s">
        <v>659</v>
      </c>
      <c r="I6" s="225" t="s">
        <v>659</v>
      </c>
    </row>
    <row r="7" spans="1:9" x14ac:dyDescent="0.25">
      <c r="A7" s="224" t="s">
        <v>661</v>
      </c>
      <c r="B7" s="225" t="s">
        <v>659</v>
      </c>
      <c r="C7" s="225" t="s">
        <v>659</v>
      </c>
      <c r="D7" s="225" t="s">
        <v>659</v>
      </c>
      <c r="E7" s="225" t="s">
        <v>659</v>
      </c>
      <c r="F7" s="225" t="s">
        <v>659</v>
      </c>
      <c r="G7" s="225" t="s">
        <v>659</v>
      </c>
      <c r="H7" s="225" t="s">
        <v>659</v>
      </c>
      <c r="I7" s="225" t="s">
        <v>659</v>
      </c>
    </row>
    <row r="8" spans="1:9" x14ac:dyDescent="0.25">
      <c r="A8" s="223"/>
      <c r="B8" s="225" t="s">
        <v>659</v>
      </c>
      <c r="C8" s="225" t="s">
        <v>659</v>
      </c>
      <c r="D8" s="225" t="s">
        <v>659</v>
      </c>
      <c r="E8" s="225" t="s">
        <v>659</v>
      </c>
      <c r="F8" s="225" t="s">
        <v>659</v>
      </c>
      <c r="G8" s="225" t="s">
        <v>659</v>
      </c>
      <c r="H8" s="225" t="s">
        <v>659</v>
      </c>
      <c r="I8" s="225" t="s">
        <v>659</v>
      </c>
    </row>
    <row r="9" spans="1:9" x14ac:dyDescent="0.25">
      <c r="A9" s="223"/>
      <c r="B9" s="225" t="s">
        <v>659</v>
      </c>
      <c r="C9" s="225" t="s">
        <v>659</v>
      </c>
      <c r="D9" s="225" t="s">
        <v>659</v>
      </c>
      <c r="E9" s="225" t="s">
        <v>659</v>
      </c>
      <c r="F9" s="225" t="s">
        <v>659</v>
      </c>
      <c r="G9" s="225" t="s">
        <v>659</v>
      </c>
      <c r="H9" s="225" t="s">
        <v>659</v>
      </c>
      <c r="I9" s="225" t="s">
        <v>659</v>
      </c>
    </row>
    <row r="10" spans="1:9" x14ac:dyDescent="0.25">
      <c r="A10" s="223"/>
      <c r="B10" s="225" t="s">
        <v>659</v>
      </c>
      <c r="C10" s="225" t="s">
        <v>659</v>
      </c>
      <c r="D10" s="225" t="s">
        <v>659</v>
      </c>
      <c r="E10" s="225" t="s">
        <v>659</v>
      </c>
      <c r="F10" s="225" t="s">
        <v>659</v>
      </c>
      <c r="G10" s="225" t="s">
        <v>659</v>
      </c>
      <c r="H10" s="225" t="s">
        <v>659</v>
      </c>
      <c r="I10" s="225" t="s">
        <v>659</v>
      </c>
    </row>
    <row r="11" spans="1:9" x14ac:dyDescent="0.25">
      <c r="A11" s="223"/>
      <c r="B11" s="225" t="s">
        <v>659</v>
      </c>
      <c r="C11" s="225" t="s">
        <v>659</v>
      </c>
      <c r="D11" s="225" t="s">
        <v>659</v>
      </c>
      <c r="E11" s="225" t="s">
        <v>659</v>
      </c>
      <c r="F11" s="225" t="s">
        <v>659</v>
      </c>
      <c r="G11" s="225" t="s">
        <v>659</v>
      </c>
      <c r="H11" s="225" t="s">
        <v>659</v>
      </c>
      <c r="I11" s="225" t="s">
        <v>659</v>
      </c>
    </row>
    <row r="12" spans="1:9" x14ac:dyDescent="0.25">
      <c r="A12" s="223"/>
      <c r="B12" s="225" t="s">
        <v>659</v>
      </c>
      <c r="C12" s="225" t="s">
        <v>659</v>
      </c>
      <c r="D12" s="225" t="s">
        <v>659</v>
      </c>
      <c r="E12" s="225" t="s">
        <v>659</v>
      </c>
      <c r="F12" s="225" t="s">
        <v>659</v>
      </c>
      <c r="G12" s="225" t="s">
        <v>659</v>
      </c>
      <c r="H12" s="225" t="s">
        <v>659</v>
      </c>
      <c r="I12" s="225" t="s">
        <v>659</v>
      </c>
    </row>
    <row r="13" spans="1:9" x14ac:dyDescent="0.25">
      <c r="A13" s="223"/>
      <c r="B13" s="225" t="s">
        <v>659</v>
      </c>
      <c r="C13" s="225" t="s">
        <v>659</v>
      </c>
      <c r="D13" s="225" t="s">
        <v>659</v>
      </c>
      <c r="E13" s="225" t="s">
        <v>659</v>
      </c>
      <c r="F13" s="225" t="s">
        <v>659</v>
      </c>
      <c r="G13" s="225" t="s">
        <v>659</v>
      </c>
      <c r="H13" s="225" t="s">
        <v>659</v>
      </c>
      <c r="I13" s="225" t="s">
        <v>659</v>
      </c>
    </row>
    <row r="14" spans="1:9" x14ac:dyDescent="0.25">
      <c r="A14" s="223"/>
      <c r="B14" s="225" t="s">
        <v>659</v>
      </c>
      <c r="C14" s="225" t="s">
        <v>659</v>
      </c>
      <c r="D14" s="225" t="s">
        <v>659</v>
      </c>
      <c r="E14" s="225" t="s">
        <v>659</v>
      </c>
      <c r="F14" s="225" t="s">
        <v>659</v>
      </c>
      <c r="G14" s="225" t="s">
        <v>659</v>
      </c>
      <c r="H14" s="225" t="s">
        <v>659</v>
      </c>
      <c r="I14" s="225" t="s">
        <v>659</v>
      </c>
    </row>
    <row r="15" spans="1:9" x14ac:dyDescent="0.25">
      <c r="A15" s="223"/>
      <c r="B15" s="225" t="s">
        <v>659</v>
      </c>
      <c r="C15" s="225" t="s">
        <v>659</v>
      </c>
      <c r="D15" s="225" t="s">
        <v>659</v>
      </c>
      <c r="E15" s="225" t="s">
        <v>659</v>
      </c>
      <c r="F15" s="225" t="s">
        <v>659</v>
      </c>
      <c r="G15" s="225" t="s">
        <v>659</v>
      </c>
      <c r="H15" s="225" t="s">
        <v>659</v>
      </c>
      <c r="I15" s="225" t="s">
        <v>659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selection activeCell="A6" sqref="A6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662</v>
      </c>
      <c r="C1" s="225" t="s">
        <v>662</v>
      </c>
      <c r="D1" s="225" t="s">
        <v>662</v>
      </c>
      <c r="E1" s="225" t="s">
        <v>662</v>
      </c>
      <c r="F1" s="225" t="s">
        <v>662</v>
      </c>
      <c r="G1" s="225" t="s">
        <v>662</v>
      </c>
      <c r="H1" s="225" t="s">
        <v>662</v>
      </c>
      <c r="I1" s="225" t="s">
        <v>662</v>
      </c>
    </row>
    <row r="2" spans="1:9" x14ac:dyDescent="0.25">
      <c r="A2" s="223"/>
      <c r="B2" s="225" t="s">
        <v>662</v>
      </c>
      <c r="C2" s="225" t="s">
        <v>662</v>
      </c>
      <c r="D2" s="225" t="s">
        <v>662</v>
      </c>
      <c r="E2" s="225" t="s">
        <v>662</v>
      </c>
      <c r="F2" s="225" t="s">
        <v>662</v>
      </c>
      <c r="G2" s="225" t="s">
        <v>662</v>
      </c>
      <c r="H2" s="225" t="s">
        <v>662</v>
      </c>
      <c r="I2" s="225" t="s">
        <v>662</v>
      </c>
    </row>
    <row r="3" spans="1:9" x14ac:dyDescent="0.25">
      <c r="A3" s="223"/>
      <c r="B3" s="225" t="s">
        <v>662</v>
      </c>
      <c r="C3" s="225" t="s">
        <v>662</v>
      </c>
      <c r="D3" s="225" t="s">
        <v>662</v>
      </c>
      <c r="E3" s="225" t="s">
        <v>662</v>
      </c>
      <c r="F3" s="225" t="s">
        <v>662</v>
      </c>
      <c r="G3" s="225" t="s">
        <v>662</v>
      </c>
      <c r="H3" s="225" t="s">
        <v>662</v>
      </c>
      <c r="I3" s="225" t="s">
        <v>662</v>
      </c>
    </row>
    <row r="4" spans="1:9" x14ac:dyDescent="0.25">
      <c r="A4" s="223"/>
      <c r="B4" s="225" t="s">
        <v>662</v>
      </c>
      <c r="C4" s="225" t="s">
        <v>662</v>
      </c>
      <c r="D4" s="225" t="s">
        <v>662</v>
      </c>
      <c r="E4" s="225" t="s">
        <v>662</v>
      </c>
      <c r="F4" s="225" t="s">
        <v>662</v>
      </c>
      <c r="G4" s="225" t="s">
        <v>662</v>
      </c>
      <c r="H4" s="225" t="s">
        <v>662</v>
      </c>
      <c r="I4" s="225" t="s">
        <v>662</v>
      </c>
    </row>
    <row r="5" spans="1:9" x14ac:dyDescent="0.25">
      <c r="A5" s="227" t="s">
        <v>659</v>
      </c>
      <c r="B5" s="225" t="s">
        <v>662</v>
      </c>
      <c r="C5" s="225" t="s">
        <v>662</v>
      </c>
      <c r="D5" s="225" t="s">
        <v>662</v>
      </c>
      <c r="E5" s="225" t="s">
        <v>662</v>
      </c>
      <c r="F5" s="225" t="s">
        <v>662</v>
      </c>
      <c r="G5" s="225" t="s">
        <v>662</v>
      </c>
      <c r="H5" s="225" t="s">
        <v>662</v>
      </c>
      <c r="I5" s="225" t="s">
        <v>662</v>
      </c>
    </row>
    <row r="6" spans="1:9" x14ac:dyDescent="0.25">
      <c r="A6" s="228" t="s">
        <v>660</v>
      </c>
      <c r="B6" s="225" t="s">
        <v>662</v>
      </c>
      <c r="C6" s="225" t="s">
        <v>662</v>
      </c>
      <c r="D6" s="225" t="s">
        <v>662</v>
      </c>
      <c r="E6" s="225" t="s">
        <v>662</v>
      </c>
      <c r="F6" s="225" t="s">
        <v>662</v>
      </c>
      <c r="G6" s="225" t="s">
        <v>662</v>
      </c>
      <c r="H6" s="225" t="s">
        <v>662</v>
      </c>
      <c r="I6" s="225" t="s">
        <v>662</v>
      </c>
    </row>
    <row r="7" spans="1:9" x14ac:dyDescent="0.25">
      <c r="A7" s="227" t="s">
        <v>661</v>
      </c>
      <c r="B7" s="225" t="s">
        <v>662</v>
      </c>
      <c r="C7" s="225" t="s">
        <v>662</v>
      </c>
      <c r="D7" s="225" t="s">
        <v>662</v>
      </c>
      <c r="E7" s="225" t="s">
        <v>662</v>
      </c>
      <c r="F7" s="225" t="s">
        <v>662</v>
      </c>
      <c r="G7" s="225" t="s">
        <v>662</v>
      </c>
      <c r="H7" s="225" t="s">
        <v>662</v>
      </c>
      <c r="I7" s="225" t="s">
        <v>662</v>
      </c>
    </row>
    <row r="8" spans="1:9" x14ac:dyDescent="0.25">
      <c r="A8" s="223"/>
      <c r="B8" s="225" t="s">
        <v>662</v>
      </c>
      <c r="C8" s="225" t="s">
        <v>662</v>
      </c>
      <c r="D8" s="225" t="s">
        <v>662</v>
      </c>
      <c r="E8" s="225" t="s">
        <v>662</v>
      </c>
      <c r="F8" s="225" t="s">
        <v>662</v>
      </c>
      <c r="G8" s="225" t="s">
        <v>662</v>
      </c>
      <c r="H8" s="225" t="s">
        <v>662</v>
      </c>
      <c r="I8" s="225" t="s">
        <v>662</v>
      </c>
    </row>
    <row r="9" spans="1:9" x14ac:dyDescent="0.25">
      <c r="A9" s="223"/>
      <c r="B9" s="225" t="s">
        <v>662</v>
      </c>
      <c r="C9" s="225" t="s">
        <v>662</v>
      </c>
      <c r="D9" s="225" t="s">
        <v>662</v>
      </c>
      <c r="E9" s="225" t="s">
        <v>662</v>
      </c>
      <c r="F9" s="225" t="s">
        <v>662</v>
      </c>
      <c r="G9" s="225" t="s">
        <v>662</v>
      </c>
      <c r="H9" s="225" t="s">
        <v>662</v>
      </c>
      <c r="I9" s="225" t="s">
        <v>662</v>
      </c>
    </row>
    <row r="10" spans="1:9" x14ac:dyDescent="0.25">
      <c r="A10" s="223"/>
      <c r="B10" s="225" t="s">
        <v>662</v>
      </c>
      <c r="C10" s="225" t="s">
        <v>662</v>
      </c>
      <c r="D10" s="225" t="s">
        <v>662</v>
      </c>
      <c r="E10" s="225" t="s">
        <v>662</v>
      </c>
      <c r="F10" s="225" t="s">
        <v>662</v>
      </c>
      <c r="G10" s="225" t="s">
        <v>662</v>
      </c>
      <c r="H10" s="225" t="s">
        <v>662</v>
      </c>
      <c r="I10" s="225" t="s">
        <v>662</v>
      </c>
    </row>
    <row r="11" spans="1:9" x14ac:dyDescent="0.25">
      <c r="A11" s="223"/>
      <c r="B11" s="225" t="s">
        <v>662</v>
      </c>
      <c r="C11" s="225" t="s">
        <v>662</v>
      </c>
      <c r="D11" s="225" t="s">
        <v>662</v>
      </c>
      <c r="E11" s="225" t="s">
        <v>662</v>
      </c>
      <c r="F11" s="225" t="s">
        <v>662</v>
      </c>
      <c r="G11" s="225" t="s">
        <v>662</v>
      </c>
      <c r="H11" s="225" t="s">
        <v>662</v>
      </c>
      <c r="I11" s="225" t="s">
        <v>662</v>
      </c>
    </row>
    <row r="12" spans="1:9" x14ac:dyDescent="0.25">
      <c r="A12" s="223"/>
      <c r="B12" s="225" t="s">
        <v>662</v>
      </c>
      <c r="C12" s="225" t="s">
        <v>662</v>
      </c>
      <c r="D12" s="225" t="s">
        <v>662</v>
      </c>
      <c r="E12" s="225" t="s">
        <v>662</v>
      </c>
      <c r="F12" s="225" t="s">
        <v>662</v>
      </c>
      <c r="G12" s="225" t="s">
        <v>662</v>
      </c>
      <c r="H12" s="225" t="s">
        <v>662</v>
      </c>
      <c r="I12" s="225" t="s">
        <v>662</v>
      </c>
    </row>
    <row r="13" spans="1:9" x14ac:dyDescent="0.25">
      <c r="A13" s="223"/>
      <c r="B13" s="225" t="s">
        <v>662</v>
      </c>
      <c r="C13" s="225" t="s">
        <v>662</v>
      </c>
      <c r="D13" s="225" t="s">
        <v>662</v>
      </c>
      <c r="E13" s="225" t="s">
        <v>662</v>
      </c>
      <c r="F13" s="225" t="s">
        <v>662</v>
      </c>
      <c r="G13" s="225" t="s">
        <v>662</v>
      </c>
      <c r="H13" s="225" t="s">
        <v>662</v>
      </c>
      <c r="I13" s="225" t="s">
        <v>662</v>
      </c>
    </row>
    <row r="14" spans="1:9" x14ac:dyDescent="0.25">
      <c r="A14" s="223"/>
      <c r="B14" s="225" t="s">
        <v>662</v>
      </c>
      <c r="C14" s="225" t="s">
        <v>662</v>
      </c>
      <c r="D14" s="225" t="s">
        <v>662</v>
      </c>
      <c r="E14" s="225" t="s">
        <v>662</v>
      </c>
      <c r="F14" s="225" t="s">
        <v>662</v>
      </c>
      <c r="G14" s="225" t="s">
        <v>662</v>
      </c>
      <c r="H14" s="225" t="s">
        <v>662</v>
      </c>
      <c r="I14" s="225" t="s">
        <v>662</v>
      </c>
    </row>
    <row r="15" spans="1:9" x14ac:dyDescent="0.25">
      <c r="A15" s="223"/>
      <c r="B15" s="225" t="s">
        <v>662</v>
      </c>
      <c r="C15" s="225" t="s">
        <v>662</v>
      </c>
      <c r="D15" s="225" t="s">
        <v>662</v>
      </c>
      <c r="E15" s="225" t="s">
        <v>662</v>
      </c>
      <c r="F15" s="225" t="s">
        <v>662</v>
      </c>
      <c r="G15" s="225" t="s">
        <v>662</v>
      </c>
      <c r="H15" s="225" t="s">
        <v>662</v>
      </c>
      <c r="I15" s="225" t="s">
        <v>662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/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661</v>
      </c>
      <c r="C1" s="225" t="s">
        <v>661</v>
      </c>
      <c r="D1" s="225" t="s">
        <v>661</v>
      </c>
      <c r="E1" s="225" t="s">
        <v>661</v>
      </c>
      <c r="F1" s="225" t="s">
        <v>661</v>
      </c>
      <c r="G1" s="225" t="s">
        <v>661</v>
      </c>
      <c r="H1" s="225" t="s">
        <v>661</v>
      </c>
      <c r="I1" s="225" t="s">
        <v>661</v>
      </c>
    </row>
    <row r="2" spans="1:9" x14ac:dyDescent="0.25">
      <c r="A2" s="223"/>
      <c r="B2" s="225" t="s">
        <v>661</v>
      </c>
      <c r="C2" s="225" t="s">
        <v>661</v>
      </c>
      <c r="D2" s="225" t="s">
        <v>661</v>
      </c>
      <c r="E2" s="225" t="s">
        <v>661</v>
      </c>
      <c r="F2" s="225" t="s">
        <v>661</v>
      </c>
      <c r="G2" s="225" t="s">
        <v>661</v>
      </c>
      <c r="H2" s="225" t="s">
        <v>661</v>
      </c>
      <c r="I2" s="225" t="s">
        <v>661</v>
      </c>
    </row>
    <row r="3" spans="1:9" x14ac:dyDescent="0.25">
      <c r="A3" s="223"/>
      <c r="B3" s="225" t="s">
        <v>661</v>
      </c>
      <c r="C3" s="225" t="s">
        <v>661</v>
      </c>
      <c r="D3" s="225" t="s">
        <v>661</v>
      </c>
      <c r="E3" s="225" t="s">
        <v>661</v>
      </c>
      <c r="F3" s="225" t="s">
        <v>661</v>
      </c>
      <c r="G3" s="225" t="s">
        <v>661</v>
      </c>
      <c r="H3" s="225" t="s">
        <v>661</v>
      </c>
      <c r="I3" s="225" t="s">
        <v>661</v>
      </c>
    </row>
    <row r="4" spans="1:9" x14ac:dyDescent="0.25">
      <c r="A4" s="223"/>
      <c r="B4" s="225" t="s">
        <v>661</v>
      </c>
      <c r="C4" s="225" t="s">
        <v>661</v>
      </c>
      <c r="D4" s="225" t="s">
        <v>661</v>
      </c>
      <c r="E4" s="225" t="s">
        <v>661</v>
      </c>
      <c r="F4" s="225" t="s">
        <v>661</v>
      </c>
      <c r="G4" s="225" t="s">
        <v>661</v>
      </c>
      <c r="H4" s="225" t="s">
        <v>661</v>
      </c>
      <c r="I4" s="225" t="s">
        <v>661</v>
      </c>
    </row>
    <row r="5" spans="1:9" x14ac:dyDescent="0.25">
      <c r="A5" s="227" t="s">
        <v>659</v>
      </c>
      <c r="B5" s="225" t="s">
        <v>661</v>
      </c>
      <c r="C5" s="225" t="s">
        <v>661</v>
      </c>
      <c r="D5" s="225" t="s">
        <v>661</v>
      </c>
      <c r="E5" s="225" t="s">
        <v>661</v>
      </c>
      <c r="F5" s="225" t="s">
        <v>661</v>
      </c>
      <c r="G5" s="225" t="s">
        <v>661</v>
      </c>
      <c r="H5" s="225" t="s">
        <v>661</v>
      </c>
      <c r="I5" s="225" t="s">
        <v>661</v>
      </c>
    </row>
    <row r="6" spans="1:9" x14ac:dyDescent="0.25">
      <c r="A6" s="227" t="s">
        <v>660</v>
      </c>
      <c r="B6" s="225" t="s">
        <v>661</v>
      </c>
      <c r="C6" s="225" t="s">
        <v>661</v>
      </c>
      <c r="D6" s="225" t="s">
        <v>661</v>
      </c>
      <c r="E6" s="225" t="s">
        <v>661</v>
      </c>
      <c r="F6" s="225" t="s">
        <v>661</v>
      </c>
      <c r="G6" s="225" t="s">
        <v>661</v>
      </c>
      <c r="H6" s="225" t="s">
        <v>661</v>
      </c>
      <c r="I6" s="225" t="s">
        <v>661</v>
      </c>
    </row>
    <row r="7" spans="1:9" x14ac:dyDescent="0.25">
      <c r="A7" s="227" t="s">
        <v>661</v>
      </c>
      <c r="B7" s="225" t="s">
        <v>661</v>
      </c>
      <c r="C7" s="225" t="s">
        <v>661</v>
      </c>
      <c r="D7" s="225" t="s">
        <v>661</v>
      </c>
      <c r="E7" s="225" t="s">
        <v>661</v>
      </c>
      <c r="F7" s="225" t="s">
        <v>661</v>
      </c>
      <c r="G7" s="225" t="s">
        <v>661</v>
      </c>
      <c r="H7" s="225" t="s">
        <v>661</v>
      </c>
      <c r="I7" s="225" t="s">
        <v>661</v>
      </c>
    </row>
    <row r="8" spans="1:9" x14ac:dyDescent="0.25">
      <c r="A8" s="223"/>
      <c r="B8" s="225" t="s">
        <v>661</v>
      </c>
      <c r="C8" s="225" t="s">
        <v>661</v>
      </c>
      <c r="D8" s="225" t="s">
        <v>661</v>
      </c>
      <c r="E8" s="225" t="s">
        <v>661</v>
      </c>
      <c r="F8" s="225" t="s">
        <v>661</v>
      </c>
      <c r="G8" s="225" t="s">
        <v>661</v>
      </c>
      <c r="H8" s="225" t="s">
        <v>661</v>
      </c>
      <c r="I8" s="225" t="s">
        <v>661</v>
      </c>
    </row>
    <row r="9" spans="1:9" x14ac:dyDescent="0.25">
      <c r="A9" s="223"/>
      <c r="B9" s="225" t="s">
        <v>661</v>
      </c>
      <c r="C9" s="225" t="s">
        <v>661</v>
      </c>
      <c r="D9" s="225" t="s">
        <v>661</v>
      </c>
      <c r="E9" s="225" t="s">
        <v>661</v>
      </c>
      <c r="F9" s="225" t="s">
        <v>661</v>
      </c>
      <c r="G9" s="225" t="s">
        <v>661</v>
      </c>
      <c r="H9" s="225" t="s">
        <v>661</v>
      </c>
      <c r="I9" s="225" t="s">
        <v>661</v>
      </c>
    </row>
    <row r="10" spans="1:9" x14ac:dyDescent="0.25">
      <c r="A10" s="223"/>
      <c r="B10" s="225" t="s">
        <v>661</v>
      </c>
      <c r="C10" s="225" t="s">
        <v>661</v>
      </c>
      <c r="D10" s="225" t="s">
        <v>661</v>
      </c>
      <c r="E10" s="225" t="s">
        <v>661</v>
      </c>
      <c r="F10" s="225" t="s">
        <v>661</v>
      </c>
      <c r="G10" s="225" t="s">
        <v>661</v>
      </c>
      <c r="H10" s="225" t="s">
        <v>661</v>
      </c>
      <c r="I10" s="225" t="s">
        <v>661</v>
      </c>
    </row>
    <row r="11" spans="1:9" x14ac:dyDescent="0.25">
      <c r="A11" s="223"/>
      <c r="B11" s="225" t="s">
        <v>661</v>
      </c>
      <c r="C11" s="225" t="s">
        <v>661</v>
      </c>
      <c r="D11" s="225" t="s">
        <v>661</v>
      </c>
      <c r="E11" s="225" t="s">
        <v>661</v>
      </c>
      <c r="F11" s="225" t="s">
        <v>661</v>
      </c>
      <c r="G11" s="225" t="s">
        <v>661</v>
      </c>
      <c r="H11" s="225" t="s">
        <v>661</v>
      </c>
      <c r="I11" s="225" t="s">
        <v>661</v>
      </c>
    </row>
    <row r="12" spans="1:9" x14ac:dyDescent="0.25">
      <c r="A12" s="223"/>
      <c r="B12" s="225" t="s">
        <v>661</v>
      </c>
      <c r="C12" s="225" t="s">
        <v>661</v>
      </c>
      <c r="D12" s="225" t="s">
        <v>661</v>
      </c>
      <c r="E12" s="225" t="s">
        <v>661</v>
      </c>
      <c r="F12" s="225" t="s">
        <v>661</v>
      </c>
      <c r="G12" s="225" t="s">
        <v>661</v>
      </c>
      <c r="H12" s="225" t="s">
        <v>661</v>
      </c>
      <c r="I12" s="225" t="s">
        <v>661</v>
      </c>
    </row>
    <row r="13" spans="1:9" x14ac:dyDescent="0.25">
      <c r="A13" s="223"/>
      <c r="B13" s="225" t="s">
        <v>661</v>
      </c>
      <c r="C13" s="225" t="s">
        <v>661</v>
      </c>
      <c r="D13" s="225" t="s">
        <v>661</v>
      </c>
      <c r="E13" s="225" t="s">
        <v>661</v>
      </c>
      <c r="F13" s="225" t="s">
        <v>661</v>
      </c>
      <c r="G13" s="225" t="s">
        <v>661</v>
      </c>
      <c r="H13" s="225" t="s">
        <v>661</v>
      </c>
      <c r="I13" s="225" t="s">
        <v>661</v>
      </c>
    </row>
    <row r="14" spans="1:9" x14ac:dyDescent="0.25">
      <c r="A14" s="223"/>
      <c r="B14" s="225" t="s">
        <v>661</v>
      </c>
      <c r="C14" s="225" t="s">
        <v>661</v>
      </c>
      <c r="D14" s="225" t="s">
        <v>661</v>
      </c>
      <c r="E14" s="225" t="s">
        <v>661</v>
      </c>
      <c r="F14" s="225" t="s">
        <v>661</v>
      </c>
      <c r="G14" s="225" t="s">
        <v>661</v>
      </c>
      <c r="H14" s="225" t="s">
        <v>661</v>
      </c>
      <c r="I14" s="225" t="s">
        <v>661</v>
      </c>
    </row>
    <row r="15" spans="1:9" x14ac:dyDescent="0.25">
      <c r="A15" s="223"/>
      <c r="B15" s="225" t="s">
        <v>661</v>
      </c>
      <c r="C15" s="225" t="s">
        <v>661</v>
      </c>
      <c r="D15" s="225" t="s">
        <v>661</v>
      </c>
      <c r="E15" s="225" t="s">
        <v>661</v>
      </c>
      <c r="F15" s="225" t="s">
        <v>661</v>
      </c>
      <c r="G15" s="225" t="s">
        <v>661</v>
      </c>
      <c r="H15" s="225" t="s">
        <v>661</v>
      </c>
      <c r="I15" s="225" t="s">
        <v>661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workbookViewId="0">
      <selection sqref="A1:B3"/>
    </sheetView>
  </sheetViews>
  <sheetFormatPr defaultRowHeight="15" x14ac:dyDescent="0.25"/>
  <sheetData>
    <row r="1" spans="1:10" x14ac:dyDescent="0.25">
      <c r="A1" s="229" t="s">
        <v>79</v>
      </c>
      <c r="B1" s="229" t="s">
        <v>304</v>
      </c>
      <c r="D1" s="229" t="s">
        <v>79</v>
      </c>
      <c r="E1" s="229" t="s">
        <v>182</v>
      </c>
      <c r="F1" s="229" t="s">
        <v>663</v>
      </c>
    </row>
    <row r="2" spans="1:10" x14ac:dyDescent="0.25">
      <c r="A2" s="229" t="s">
        <v>182</v>
      </c>
      <c r="B2" s="229">
        <v>17</v>
      </c>
      <c r="D2" s="229" t="s">
        <v>304</v>
      </c>
      <c r="E2" s="229">
        <v>32</v>
      </c>
      <c r="F2" s="229">
        <v>55</v>
      </c>
    </row>
    <row r="3" spans="1:10" x14ac:dyDescent="0.25">
      <c r="A3" s="229" t="s">
        <v>663</v>
      </c>
      <c r="B3" s="229">
        <v>20</v>
      </c>
    </row>
    <row r="5" spans="1:10" x14ac:dyDescent="0.25">
      <c r="A5" s="60" t="str">
        <f t="array" ref="A5:C6">TRANSPOSE(A1:B3)</f>
        <v>Nome</v>
      </c>
      <c r="B5" s="60" t="str">
        <v>Roberto</v>
      </c>
      <c r="C5" s="60" t="str">
        <v>Ana</v>
      </c>
      <c r="E5" s="369" t="s">
        <v>664</v>
      </c>
      <c r="F5" s="370"/>
      <c r="G5" s="370"/>
      <c r="H5" s="370"/>
      <c r="I5" s="370"/>
      <c r="J5" s="371"/>
    </row>
    <row r="6" spans="1:10" x14ac:dyDescent="0.25">
      <c r="A6" s="60" t="str">
        <v>Idade</v>
      </c>
      <c r="B6" s="60">
        <v>17</v>
      </c>
      <c r="C6" s="60">
        <v>20</v>
      </c>
      <c r="E6" s="372"/>
      <c r="F6" s="373"/>
      <c r="G6" s="373"/>
      <c r="H6" s="373"/>
      <c r="I6" s="373"/>
      <c r="J6" s="374"/>
    </row>
    <row r="10" spans="1:10" x14ac:dyDescent="0.25">
      <c r="A10" s="226">
        <v>100</v>
      </c>
      <c r="B10" s="230">
        <v>3</v>
      </c>
      <c r="C10" s="226">
        <f>A10*B10</f>
        <v>300</v>
      </c>
      <c r="E10" s="375" t="s">
        <v>665</v>
      </c>
      <c r="F10" s="375"/>
      <c r="G10" s="375"/>
      <c r="H10" s="375"/>
      <c r="I10" s="375"/>
      <c r="J10" s="375"/>
    </row>
  </sheetData>
  <mergeCells count="2">
    <mergeCell ref="E5:J6"/>
    <mergeCell ref="E10:J10"/>
  </mergeCells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D2" sqref="D2:G2"/>
    </sheetView>
  </sheetViews>
  <sheetFormatPr defaultRowHeight="15" x14ac:dyDescent="0.25"/>
  <sheetData>
    <row r="1" spans="1:7" x14ac:dyDescent="0.25">
      <c r="A1" s="226" t="s">
        <v>79</v>
      </c>
      <c r="B1" s="226" t="s">
        <v>304</v>
      </c>
    </row>
    <row r="2" spans="1:7" x14ac:dyDescent="0.25">
      <c r="A2" s="226" t="s">
        <v>182</v>
      </c>
      <c r="B2" s="226">
        <v>17</v>
      </c>
      <c r="D2" s="376" t="s">
        <v>666</v>
      </c>
      <c r="E2" s="376"/>
      <c r="F2" s="376"/>
      <c r="G2" s="376"/>
    </row>
    <row r="3" spans="1:7" x14ac:dyDescent="0.25">
      <c r="A3" s="226" t="s">
        <v>663</v>
      </c>
      <c r="B3" s="226">
        <v>20</v>
      </c>
    </row>
  </sheetData>
  <protectedRanges>
    <protectedRange sqref="A1:B3" name="Intervalo1"/>
  </protectedRanges>
  <mergeCells count="1">
    <mergeCell ref="D2:G2"/>
  </mergeCells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J19" sqref="J19"/>
    </sheetView>
  </sheetViews>
  <sheetFormatPr defaultRowHeight="15" x14ac:dyDescent="0.25"/>
  <cols>
    <col min="2" max="3" width="12.140625" bestFit="1" customWidth="1"/>
    <col min="4" max="4" width="12.28515625" bestFit="1" customWidth="1"/>
    <col min="5" max="5" width="21.28515625" customWidth="1"/>
  </cols>
  <sheetData>
    <row r="1" spans="1:5" ht="24" customHeight="1" x14ac:dyDescent="0.25">
      <c r="A1" s="377" t="s">
        <v>667</v>
      </c>
      <c r="B1" s="377"/>
      <c r="C1" s="377"/>
      <c r="D1" s="377"/>
      <c r="E1" s="377"/>
    </row>
    <row r="2" spans="1:5" ht="6" customHeight="1" x14ac:dyDescent="0.25"/>
    <row r="3" spans="1:5" x14ac:dyDescent="0.25">
      <c r="A3" s="231" t="s">
        <v>38</v>
      </c>
      <c r="B3" s="231">
        <v>2018</v>
      </c>
      <c r="C3" s="231">
        <v>2019</v>
      </c>
      <c r="D3" s="231" t="s">
        <v>668</v>
      </c>
      <c r="E3" s="231" t="s">
        <v>669</v>
      </c>
    </row>
    <row r="4" spans="1:5" x14ac:dyDescent="0.25">
      <c r="A4" s="60" t="s">
        <v>8</v>
      </c>
      <c r="B4" s="232">
        <v>5000</v>
      </c>
      <c r="C4" s="232">
        <v>4000</v>
      </c>
      <c r="D4" s="233">
        <f>C4/B4-1</f>
        <v>-0.19999999999999996</v>
      </c>
      <c r="E4" s="231" t="str">
        <f>TEXT(D4,"0,0%")&amp;IF(C4&gt;=B4,$B$11,$B$12)</f>
        <v>-20,0%▼</v>
      </c>
    </row>
    <row r="5" spans="1:5" x14ac:dyDescent="0.25">
      <c r="A5" s="60" t="s">
        <v>9</v>
      </c>
      <c r="B5" s="232">
        <v>3500</v>
      </c>
      <c r="C5" s="232">
        <v>3600</v>
      </c>
      <c r="D5" s="233">
        <f t="shared" ref="D5:D8" si="0">C5/B5-1</f>
        <v>2.857142857142847E-2</v>
      </c>
      <c r="E5" s="231" t="str">
        <f t="shared" ref="E5:E8" si="1">TEXT(D5,"0,0%")&amp;IF(C5&gt;=B5,$B$11,$B$12)</f>
        <v>2,9%▲</v>
      </c>
    </row>
    <row r="6" spans="1:5" x14ac:dyDescent="0.25">
      <c r="A6" s="60" t="s">
        <v>10</v>
      </c>
      <c r="B6" s="232">
        <v>2850</v>
      </c>
      <c r="C6" s="232">
        <v>3800</v>
      </c>
      <c r="D6" s="233">
        <f t="shared" si="0"/>
        <v>0.33333333333333326</v>
      </c>
      <c r="E6" s="231" t="str">
        <f t="shared" si="1"/>
        <v>33,3%▲</v>
      </c>
    </row>
    <row r="7" spans="1:5" x14ac:dyDescent="0.25">
      <c r="A7" s="60" t="s">
        <v>11</v>
      </c>
      <c r="B7" s="232">
        <v>4800</v>
      </c>
      <c r="C7" s="232">
        <v>2600</v>
      </c>
      <c r="D7" s="233">
        <f t="shared" si="0"/>
        <v>-0.45833333333333337</v>
      </c>
      <c r="E7" s="231" t="str">
        <f t="shared" si="1"/>
        <v>-45,8%▼</v>
      </c>
    </row>
    <row r="8" spans="1:5" x14ac:dyDescent="0.25">
      <c r="A8" s="60" t="s">
        <v>12</v>
      </c>
      <c r="B8" s="232">
        <v>3900</v>
      </c>
      <c r="C8" s="232">
        <v>2550</v>
      </c>
      <c r="D8" s="233">
        <f t="shared" si="0"/>
        <v>-0.34615384615384615</v>
      </c>
      <c r="E8" s="231" t="str">
        <f t="shared" si="1"/>
        <v>-34,6%▼</v>
      </c>
    </row>
    <row r="10" spans="1:5" x14ac:dyDescent="0.25">
      <c r="B10" s="234" t="s">
        <v>670</v>
      </c>
    </row>
    <row r="11" spans="1:5" x14ac:dyDescent="0.25">
      <c r="B11" s="236" t="s">
        <v>672</v>
      </c>
    </row>
    <row r="12" spans="1:5" x14ac:dyDescent="0.25">
      <c r="B12" s="235" t="s">
        <v>671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N19"/>
  <sheetViews>
    <sheetView workbookViewId="0">
      <selection activeCell="H20" sqref="H20"/>
    </sheetView>
  </sheetViews>
  <sheetFormatPr defaultRowHeight="15" x14ac:dyDescent="0.25"/>
  <cols>
    <col min="1" max="1" width="9.85546875" bestFit="1" customWidth="1"/>
    <col min="2" max="3" width="12.140625" bestFit="1" customWidth="1"/>
    <col min="4" max="6" width="12.28515625" bestFit="1" customWidth="1"/>
    <col min="7" max="7" width="12.140625" bestFit="1" customWidth="1"/>
    <col min="8" max="9" width="12.28515625" bestFit="1" customWidth="1"/>
    <col min="10" max="10" width="12.140625" bestFit="1" customWidth="1"/>
    <col min="11" max="11" width="12.28515625" bestFit="1" customWidth="1"/>
    <col min="12" max="13" width="12.140625" bestFit="1" customWidth="1"/>
    <col min="14" max="14" width="12.28515625" bestFit="1" customWidth="1"/>
  </cols>
  <sheetData>
    <row r="1" spans="1:14" x14ac:dyDescent="0.25">
      <c r="A1" s="70" t="s">
        <v>193</v>
      </c>
      <c r="B1" s="70" t="s">
        <v>425</v>
      </c>
      <c r="C1" s="70" t="s">
        <v>426</v>
      </c>
      <c r="D1" s="70" t="s">
        <v>427</v>
      </c>
      <c r="E1" s="70" t="s">
        <v>673</v>
      </c>
      <c r="F1" s="70" t="s">
        <v>674</v>
      </c>
      <c r="G1" s="70" t="s">
        <v>675</v>
      </c>
      <c r="H1" s="70" t="s">
        <v>676</v>
      </c>
      <c r="I1" s="70" t="s">
        <v>677</v>
      </c>
      <c r="J1" s="70" t="s">
        <v>678</v>
      </c>
      <c r="K1" s="70" t="s">
        <v>679</v>
      </c>
      <c r="L1" s="70" t="s">
        <v>680</v>
      </c>
      <c r="M1" s="70" t="s">
        <v>681</v>
      </c>
      <c r="N1" s="70" t="s">
        <v>63</v>
      </c>
    </row>
    <row r="2" spans="1:14" x14ac:dyDescent="0.25">
      <c r="A2" s="133" t="s">
        <v>682</v>
      </c>
      <c r="B2" s="238">
        <v>517</v>
      </c>
      <c r="C2" s="238">
        <v>496</v>
      </c>
      <c r="D2" s="238">
        <v>1331</v>
      </c>
      <c r="E2" s="238">
        <v>1049</v>
      </c>
      <c r="F2" s="238">
        <v>1014</v>
      </c>
      <c r="G2" s="238">
        <v>532</v>
      </c>
      <c r="H2" s="238">
        <v>1021</v>
      </c>
      <c r="I2" s="238">
        <v>1114</v>
      </c>
      <c r="J2" s="238">
        <v>391</v>
      </c>
      <c r="K2" s="238">
        <v>1217</v>
      </c>
      <c r="L2" s="238">
        <v>518</v>
      </c>
      <c r="M2" s="238">
        <v>525</v>
      </c>
      <c r="N2" s="238">
        <f>SUM(B2:M2)</f>
        <v>9725</v>
      </c>
    </row>
    <row r="3" spans="1:14" x14ac:dyDescent="0.25">
      <c r="A3" s="71" t="s">
        <v>683</v>
      </c>
      <c r="B3" s="72">
        <f ca="1">RANDBETWEEN(1,2000)</f>
        <v>362</v>
      </c>
      <c r="C3" s="72">
        <f t="shared" ref="C3:N10" ca="1" si="0">RANDBETWEEN(1,2000)</f>
        <v>9</v>
      </c>
      <c r="D3" s="72">
        <f t="shared" ca="1" si="0"/>
        <v>317</v>
      </c>
      <c r="E3" s="72">
        <f t="shared" ca="1" si="0"/>
        <v>1752</v>
      </c>
      <c r="F3" s="72">
        <f t="shared" ca="1" si="0"/>
        <v>1965</v>
      </c>
      <c r="G3" s="72">
        <f t="shared" ca="1" si="0"/>
        <v>1291</v>
      </c>
      <c r="H3" s="72">
        <f t="shared" ca="1" si="0"/>
        <v>708</v>
      </c>
      <c r="I3" s="72">
        <f t="shared" ca="1" si="0"/>
        <v>555</v>
      </c>
      <c r="J3" s="72">
        <f t="shared" ca="1" si="0"/>
        <v>796</v>
      </c>
      <c r="K3" s="72">
        <f t="shared" ca="1" si="0"/>
        <v>1052</v>
      </c>
      <c r="L3" s="72">
        <f t="shared" ca="1" si="0"/>
        <v>713</v>
      </c>
      <c r="M3" s="72">
        <f t="shared" ca="1" si="0"/>
        <v>1660</v>
      </c>
      <c r="N3" s="72">
        <f t="shared" ca="1" si="0"/>
        <v>21</v>
      </c>
    </row>
    <row r="4" spans="1:14" x14ac:dyDescent="0.25">
      <c r="A4" s="71" t="s">
        <v>684</v>
      </c>
      <c r="B4" s="72">
        <f t="shared" ref="B4:B10" ca="1" si="1">RANDBETWEEN(1,2000)</f>
        <v>1697</v>
      </c>
      <c r="C4" s="72">
        <f t="shared" ca="1" si="0"/>
        <v>1911</v>
      </c>
      <c r="D4" s="72">
        <f t="shared" ca="1" si="0"/>
        <v>1813</v>
      </c>
      <c r="E4" s="72">
        <f t="shared" ca="1" si="0"/>
        <v>1736</v>
      </c>
      <c r="F4" s="72">
        <f t="shared" ca="1" si="0"/>
        <v>274</v>
      </c>
      <c r="G4" s="72">
        <f t="shared" ca="1" si="0"/>
        <v>1041</v>
      </c>
      <c r="H4" s="72">
        <f t="shared" ca="1" si="0"/>
        <v>741</v>
      </c>
      <c r="I4" s="72">
        <f t="shared" ca="1" si="0"/>
        <v>608</v>
      </c>
      <c r="J4" s="72">
        <f t="shared" ca="1" si="0"/>
        <v>185</v>
      </c>
      <c r="K4" s="72">
        <f t="shared" ca="1" si="0"/>
        <v>953</v>
      </c>
      <c r="L4" s="72">
        <f t="shared" ca="1" si="0"/>
        <v>997</v>
      </c>
      <c r="M4" s="72">
        <f t="shared" ca="1" si="0"/>
        <v>1136</v>
      </c>
      <c r="N4" s="72">
        <f t="shared" ca="1" si="0"/>
        <v>1266</v>
      </c>
    </row>
    <row r="5" spans="1:14" x14ac:dyDescent="0.25">
      <c r="A5" s="71" t="s">
        <v>685</v>
      </c>
      <c r="B5" s="72">
        <f t="shared" ca="1" si="1"/>
        <v>307</v>
      </c>
      <c r="C5" s="72">
        <f t="shared" ca="1" si="0"/>
        <v>212</v>
      </c>
      <c r="D5" s="72">
        <f t="shared" ca="1" si="0"/>
        <v>1013</v>
      </c>
      <c r="E5" s="72">
        <f t="shared" ca="1" si="0"/>
        <v>754</v>
      </c>
      <c r="F5" s="72">
        <f t="shared" ca="1" si="0"/>
        <v>1548</v>
      </c>
      <c r="G5" s="72">
        <f t="shared" ca="1" si="0"/>
        <v>796</v>
      </c>
      <c r="H5" s="72">
        <f t="shared" ca="1" si="0"/>
        <v>1536</v>
      </c>
      <c r="I5" s="72">
        <f t="shared" ca="1" si="0"/>
        <v>385</v>
      </c>
      <c r="J5" s="72">
        <f t="shared" ca="1" si="0"/>
        <v>517</v>
      </c>
      <c r="K5" s="72">
        <f t="shared" ca="1" si="0"/>
        <v>362</v>
      </c>
      <c r="L5" s="72">
        <f t="shared" ca="1" si="0"/>
        <v>396</v>
      </c>
      <c r="M5" s="72">
        <f t="shared" ca="1" si="0"/>
        <v>567</v>
      </c>
      <c r="N5" s="72">
        <f t="shared" ca="1" si="0"/>
        <v>1684</v>
      </c>
    </row>
    <row r="6" spans="1:14" x14ac:dyDescent="0.25">
      <c r="A6" s="71" t="s">
        <v>686</v>
      </c>
      <c r="B6" s="72">
        <f t="shared" ca="1" si="1"/>
        <v>503</v>
      </c>
      <c r="C6" s="72">
        <f t="shared" ca="1" si="0"/>
        <v>1507</v>
      </c>
      <c r="D6" s="72">
        <f t="shared" ca="1" si="0"/>
        <v>683</v>
      </c>
      <c r="E6" s="72">
        <f t="shared" ca="1" si="0"/>
        <v>1602</v>
      </c>
      <c r="F6" s="72">
        <f t="shared" ca="1" si="0"/>
        <v>1456</v>
      </c>
      <c r="G6" s="72">
        <f t="shared" ca="1" si="0"/>
        <v>863</v>
      </c>
      <c r="H6" s="72">
        <f t="shared" ca="1" si="0"/>
        <v>523</v>
      </c>
      <c r="I6" s="72">
        <f t="shared" ca="1" si="0"/>
        <v>1690</v>
      </c>
      <c r="J6" s="72">
        <f t="shared" ca="1" si="0"/>
        <v>396</v>
      </c>
      <c r="K6" s="72">
        <f t="shared" ca="1" si="0"/>
        <v>441</v>
      </c>
      <c r="L6" s="72">
        <f t="shared" ca="1" si="0"/>
        <v>1176</v>
      </c>
      <c r="M6" s="72">
        <f t="shared" ca="1" si="0"/>
        <v>1979</v>
      </c>
      <c r="N6" s="72">
        <f t="shared" ca="1" si="0"/>
        <v>1961</v>
      </c>
    </row>
    <row r="7" spans="1:14" x14ac:dyDescent="0.25">
      <c r="A7" s="71" t="s">
        <v>687</v>
      </c>
      <c r="B7" s="72">
        <f t="shared" ca="1" si="1"/>
        <v>1125</v>
      </c>
      <c r="C7" s="72">
        <f t="shared" ca="1" si="0"/>
        <v>759</v>
      </c>
      <c r="D7" s="72">
        <f t="shared" ca="1" si="0"/>
        <v>348</v>
      </c>
      <c r="E7" s="72">
        <f t="shared" ca="1" si="0"/>
        <v>349</v>
      </c>
      <c r="F7" s="72">
        <f t="shared" ca="1" si="0"/>
        <v>1341</v>
      </c>
      <c r="G7" s="72">
        <f t="shared" ca="1" si="0"/>
        <v>1022</v>
      </c>
      <c r="H7" s="72">
        <f t="shared" ca="1" si="0"/>
        <v>840</v>
      </c>
      <c r="I7" s="72">
        <f t="shared" ca="1" si="0"/>
        <v>1727</v>
      </c>
      <c r="J7" s="72">
        <f t="shared" ca="1" si="0"/>
        <v>842</v>
      </c>
      <c r="K7" s="72">
        <f t="shared" ca="1" si="0"/>
        <v>1353</v>
      </c>
      <c r="L7" s="72">
        <f t="shared" ca="1" si="0"/>
        <v>1266</v>
      </c>
      <c r="M7" s="72">
        <f t="shared" ca="1" si="0"/>
        <v>1064</v>
      </c>
      <c r="N7" s="72">
        <f t="shared" ca="1" si="0"/>
        <v>746</v>
      </c>
    </row>
    <row r="8" spans="1:14" x14ac:dyDescent="0.25">
      <c r="A8" s="71" t="s">
        <v>688</v>
      </c>
      <c r="B8" s="72">
        <f t="shared" ca="1" si="1"/>
        <v>431</v>
      </c>
      <c r="C8" s="72">
        <f t="shared" ca="1" si="0"/>
        <v>135</v>
      </c>
      <c r="D8" s="72">
        <f t="shared" ca="1" si="0"/>
        <v>513</v>
      </c>
      <c r="E8" s="72">
        <f t="shared" ca="1" si="0"/>
        <v>1406</v>
      </c>
      <c r="F8" s="72">
        <f t="shared" ca="1" si="0"/>
        <v>1897</v>
      </c>
      <c r="G8" s="72">
        <f t="shared" ca="1" si="0"/>
        <v>1279</v>
      </c>
      <c r="H8" s="72">
        <f t="shared" ca="1" si="0"/>
        <v>1915</v>
      </c>
      <c r="I8" s="72">
        <f t="shared" ca="1" si="0"/>
        <v>5</v>
      </c>
      <c r="J8" s="72">
        <f t="shared" ca="1" si="0"/>
        <v>1373</v>
      </c>
      <c r="K8" s="72">
        <f t="shared" ca="1" si="0"/>
        <v>615</v>
      </c>
      <c r="L8" s="72">
        <f t="shared" ca="1" si="0"/>
        <v>916</v>
      </c>
      <c r="M8" s="72">
        <f t="shared" ca="1" si="0"/>
        <v>75</v>
      </c>
      <c r="N8" s="72">
        <f t="shared" ca="1" si="0"/>
        <v>351</v>
      </c>
    </row>
    <row r="9" spans="1:14" x14ac:dyDescent="0.25">
      <c r="A9" s="71" t="s">
        <v>689</v>
      </c>
      <c r="B9" s="72">
        <f t="shared" ca="1" si="1"/>
        <v>1643</v>
      </c>
      <c r="C9" s="72">
        <f t="shared" ca="1" si="0"/>
        <v>1669</v>
      </c>
      <c r="D9" s="72">
        <f t="shared" ca="1" si="0"/>
        <v>594</v>
      </c>
      <c r="E9" s="72">
        <f t="shared" ca="1" si="0"/>
        <v>1881</v>
      </c>
      <c r="F9" s="72">
        <f t="shared" ca="1" si="0"/>
        <v>942</v>
      </c>
      <c r="G9" s="72">
        <f t="shared" ca="1" si="0"/>
        <v>1171</v>
      </c>
      <c r="H9" s="72">
        <f t="shared" ca="1" si="0"/>
        <v>277</v>
      </c>
      <c r="I9" s="72">
        <f t="shared" ca="1" si="0"/>
        <v>1458</v>
      </c>
      <c r="J9" s="72">
        <f t="shared" ca="1" si="0"/>
        <v>1441</v>
      </c>
      <c r="K9" s="72">
        <f t="shared" ca="1" si="0"/>
        <v>226</v>
      </c>
      <c r="L9" s="72">
        <f t="shared" ca="1" si="0"/>
        <v>72</v>
      </c>
      <c r="M9" s="72">
        <f t="shared" ca="1" si="0"/>
        <v>441</v>
      </c>
      <c r="N9" s="72">
        <f t="shared" ca="1" si="0"/>
        <v>1641</v>
      </c>
    </row>
    <row r="10" spans="1:14" x14ac:dyDescent="0.25">
      <c r="A10" s="71" t="s">
        <v>690</v>
      </c>
      <c r="B10" s="72">
        <f t="shared" ca="1" si="1"/>
        <v>393</v>
      </c>
      <c r="C10" s="72">
        <f t="shared" ca="1" si="0"/>
        <v>965</v>
      </c>
      <c r="D10" s="72">
        <f t="shared" ca="1" si="0"/>
        <v>927</v>
      </c>
      <c r="E10" s="72">
        <f t="shared" ca="1" si="0"/>
        <v>1633</v>
      </c>
      <c r="F10" s="72">
        <f t="shared" ca="1" si="0"/>
        <v>1129</v>
      </c>
      <c r="G10" s="72">
        <f t="shared" ca="1" si="0"/>
        <v>461</v>
      </c>
      <c r="H10" s="72">
        <f t="shared" ca="1" si="0"/>
        <v>1051</v>
      </c>
      <c r="I10" s="72">
        <f t="shared" ca="1" si="0"/>
        <v>1520</v>
      </c>
      <c r="J10" s="72">
        <f t="shared" ca="1" si="0"/>
        <v>1293</v>
      </c>
      <c r="K10" s="72">
        <f t="shared" ca="1" si="0"/>
        <v>924</v>
      </c>
      <c r="L10" s="72">
        <f t="shared" ca="1" si="0"/>
        <v>1033</v>
      </c>
      <c r="M10" s="72">
        <f t="shared" ca="1" si="0"/>
        <v>1484</v>
      </c>
      <c r="N10" s="72">
        <f t="shared" ca="1" si="0"/>
        <v>1711</v>
      </c>
    </row>
    <row r="11" spans="1:14" x14ac:dyDescent="0.25">
      <c r="A11" s="87" t="s">
        <v>691</v>
      </c>
      <c r="B11" s="239">
        <f ca="1">RANDBETWEEN(100,2000)</f>
        <v>1094</v>
      </c>
      <c r="C11" s="239">
        <f t="shared" ref="C11:N12" ca="1" si="2">RANDBETWEEN(100,2000)</f>
        <v>1863</v>
      </c>
      <c r="D11" s="239">
        <f t="shared" ca="1" si="2"/>
        <v>868</v>
      </c>
      <c r="E11" s="239">
        <f t="shared" ca="1" si="2"/>
        <v>465</v>
      </c>
      <c r="F11" s="239">
        <f t="shared" ca="1" si="2"/>
        <v>537</v>
      </c>
      <c r="G11" s="239">
        <f t="shared" ca="1" si="2"/>
        <v>1583</v>
      </c>
      <c r="H11" s="239">
        <f t="shared" ca="1" si="2"/>
        <v>1354</v>
      </c>
      <c r="I11" s="239">
        <f t="shared" ca="1" si="2"/>
        <v>956</v>
      </c>
      <c r="J11" s="239">
        <f t="shared" ca="1" si="2"/>
        <v>923</v>
      </c>
      <c r="K11" s="239">
        <f t="shared" ca="1" si="2"/>
        <v>1691</v>
      </c>
      <c r="L11" s="239">
        <f t="shared" ca="1" si="2"/>
        <v>1865</v>
      </c>
      <c r="M11" s="239">
        <f t="shared" ca="1" si="2"/>
        <v>224</v>
      </c>
      <c r="N11" s="239">
        <f t="shared" ca="1" si="2"/>
        <v>1063</v>
      </c>
    </row>
    <row r="12" spans="1:14" x14ac:dyDescent="0.25">
      <c r="A12" s="87" t="s">
        <v>692</v>
      </c>
      <c r="B12" s="239">
        <f ca="1">RANDBETWEEN(100,2000)</f>
        <v>120</v>
      </c>
      <c r="C12" s="239">
        <f t="shared" ca="1" si="2"/>
        <v>1892</v>
      </c>
      <c r="D12" s="239">
        <f t="shared" ca="1" si="2"/>
        <v>1000</v>
      </c>
      <c r="E12" s="239">
        <f t="shared" ca="1" si="2"/>
        <v>1587</v>
      </c>
      <c r="F12" s="239">
        <f t="shared" ca="1" si="2"/>
        <v>1270</v>
      </c>
      <c r="G12" s="239">
        <f t="shared" ca="1" si="2"/>
        <v>186</v>
      </c>
      <c r="H12" s="239">
        <f t="shared" ca="1" si="2"/>
        <v>265</v>
      </c>
      <c r="I12" s="239">
        <f t="shared" ca="1" si="2"/>
        <v>1541</v>
      </c>
      <c r="J12" s="239">
        <f t="shared" ca="1" si="2"/>
        <v>1386</v>
      </c>
      <c r="K12" s="239">
        <f t="shared" ca="1" si="2"/>
        <v>1242</v>
      </c>
      <c r="L12" s="239">
        <f t="shared" ca="1" si="2"/>
        <v>518</v>
      </c>
      <c r="M12" s="239">
        <f t="shared" ca="1" si="2"/>
        <v>1976</v>
      </c>
      <c r="N12" s="239">
        <f t="shared" ca="1" si="2"/>
        <v>151</v>
      </c>
    </row>
    <row r="17" spans="4:9" x14ac:dyDescent="0.25">
      <c r="D17" t="s">
        <v>693</v>
      </c>
    </row>
    <row r="18" spans="4:9" x14ac:dyDescent="0.25">
      <c r="D18">
        <f ca="1">RANDBETWEEN(1,99)</f>
        <v>82</v>
      </c>
      <c r="E18">
        <f t="shared" ref="E18:I18" ca="1" si="3">RANDBETWEEN(1,99)</f>
        <v>90</v>
      </c>
      <c r="F18">
        <f t="shared" ca="1" si="3"/>
        <v>45</v>
      </c>
      <c r="G18">
        <f t="shared" ca="1" si="3"/>
        <v>40</v>
      </c>
      <c r="H18">
        <f t="shared" ca="1" si="3"/>
        <v>93</v>
      </c>
      <c r="I18">
        <f t="shared" ca="1" si="3"/>
        <v>26</v>
      </c>
    </row>
    <row r="19" spans="4:9" x14ac:dyDescent="0.25">
      <c r="H19">
        <f ca="1">RANDBETWEEN(1,99)</f>
        <v>16</v>
      </c>
    </row>
  </sheetData>
  <printOptions headings="1" gridLines="1"/>
  <pageMargins left="0.51181102362204722" right="0.51181102362204722" top="0.78740157480314965" bottom="0.78740157480314965" header="0.31496062992125984" footer="0.31496062992125984"/>
  <pageSetup paperSize="9" scale="54" orientation="portrait" blackAndWhite="1" r:id="rId1"/>
  <headerFooter>
    <oddHeader>&amp;L&amp;P&amp;C&amp;T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Sorteio">
                <anchor moveWithCells="1" sizeWithCells="1">
                  <from>
                    <xdr:col>3</xdr:col>
                    <xdr:colOff>38100</xdr:colOff>
                    <xdr:row>18</xdr:row>
                    <xdr:rowOff>66675</xdr:rowOff>
                  </from>
                  <to>
                    <xdr:col>4</xdr:col>
                    <xdr:colOff>333375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Limpar_Sorteio">
                <anchor moveWithCells="1" sizeWithCells="1">
                  <from>
                    <xdr:col>4</xdr:col>
                    <xdr:colOff>476250</xdr:colOff>
                    <xdr:row>18</xdr:row>
                    <xdr:rowOff>57150</xdr:rowOff>
                  </from>
                  <to>
                    <xdr:col>6</xdr:col>
                    <xdr:colOff>152400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"/>
  <sheetViews>
    <sheetView workbookViewId="0">
      <selection activeCell="L10" sqref="L10"/>
    </sheetView>
  </sheetViews>
  <sheetFormatPr defaultRowHeight="15" x14ac:dyDescent="0.25"/>
  <cols>
    <col min="1" max="1" width="14.42578125" bestFit="1" customWidth="1"/>
    <col min="2" max="2" width="12.7109375" bestFit="1" customWidth="1"/>
    <col min="3" max="5" width="12.140625" bestFit="1" customWidth="1"/>
    <col min="6" max="6" width="19.140625" bestFit="1" customWidth="1"/>
    <col min="7" max="7" width="12.140625" bestFit="1" customWidth="1"/>
    <col min="8" max="8" width="10" bestFit="1" customWidth="1"/>
    <col min="9" max="9" width="14.28515625" bestFit="1" customWidth="1"/>
    <col min="10" max="10" width="18.28515625" bestFit="1" customWidth="1"/>
    <col min="12" max="12" width="16.85546875" bestFit="1" customWidth="1"/>
  </cols>
  <sheetData>
    <row r="1" spans="1:12" ht="33" customHeight="1" x14ac:dyDescent="0.25">
      <c r="A1" s="379" t="s">
        <v>707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</row>
    <row r="2" spans="1:12" x14ac:dyDescent="0.25">
      <c r="A2" s="249"/>
      <c r="B2" s="248"/>
      <c r="C2" s="248"/>
      <c r="D2" s="248"/>
      <c r="E2" s="248"/>
      <c r="F2" s="248"/>
      <c r="G2" s="248"/>
      <c r="H2" s="248"/>
      <c r="I2" s="248"/>
      <c r="J2" s="248"/>
      <c r="K2" s="250"/>
    </row>
    <row r="3" spans="1:12" x14ac:dyDescent="0.25">
      <c r="A3" s="249"/>
      <c r="B3" s="248"/>
      <c r="C3" s="248"/>
      <c r="D3" s="248"/>
      <c r="E3" s="248"/>
      <c r="F3" s="248"/>
      <c r="G3" s="248"/>
      <c r="H3" s="248"/>
      <c r="I3" s="248"/>
      <c r="J3" s="248"/>
      <c r="K3" s="250"/>
    </row>
    <row r="4" spans="1:12" x14ac:dyDescent="0.25">
      <c r="A4" s="249"/>
      <c r="B4" s="248"/>
      <c r="C4" s="248"/>
      <c r="D4" s="248"/>
      <c r="E4" s="248"/>
      <c r="F4" s="248"/>
      <c r="G4" s="248"/>
      <c r="H4" s="248"/>
      <c r="I4" s="248"/>
      <c r="J4" s="248"/>
      <c r="K4" s="250"/>
    </row>
    <row r="5" spans="1:12" x14ac:dyDescent="0.25">
      <c r="A5" s="249"/>
      <c r="B5" s="248"/>
      <c r="C5" s="378" t="s">
        <v>698</v>
      </c>
      <c r="D5" s="378"/>
      <c r="E5" s="378"/>
      <c r="F5" s="248"/>
      <c r="G5" s="248"/>
      <c r="H5" s="248"/>
      <c r="I5" s="248"/>
      <c r="J5" s="248"/>
      <c r="K5" s="250"/>
      <c r="L5" s="247" t="s">
        <v>708</v>
      </c>
    </row>
    <row r="6" spans="1:12" x14ac:dyDescent="0.25">
      <c r="A6" s="37" t="s">
        <v>193</v>
      </c>
      <c r="B6" s="37" t="s">
        <v>694</v>
      </c>
      <c r="C6" s="37" t="s">
        <v>425</v>
      </c>
      <c r="D6" s="37" t="s">
        <v>426</v>
      </c>
      <c r="E6" s="37" t="s">
        <v>427</v>
      </c>
      <c r="F6" s="37" t="s">
        <v>695</v>
      </c>
      <c r="G6" s="37" t="s">
        <v>696</v>
      </c>
      <c r="H6" s="37" t="s">
        <v>61</v>
      </c>
      <c r="I6" s="37" t="s">
        <v>697</v>
      </c>
      <c r="J6" s="37" t="s">
        <v>699</v>
      </c>
      <c r="K6" s="250"/>
      <c r="L6" s="246"/>
    </row>
    <row r="7" spans="1:12" x14ac:dyDescent="0.25">
      <c r="A7" s="242" t="s">
        <v>180</v>
      </c>
      <c r="B7" s="242" t="s">
        <v>703</v>
      </c>
      <c r="C7" s="243">
        <v>650</v>
      </c>
      <c r="D7" s="243">
        <v>790</v>
      </c>
      <c r="E7" s="243">
        <v>310</v>
      </c>
      <c r="F7" s="140">
        <f>SUM(C7:E7)</f>
        <v>1750</v>
      </c>
      <c r="G7" s="140">
        <f>AVERAGE(C7:E7)</f>
        <v>583.33333333333337</v>
      </c>
      <c r="H7" s="183">
        <v>15</v>
      </c>
      <c r="I7" s="140">
        <f>H7*F7</f>
        <v>26250</v>
      </c>
      <c r="J7" s="183" t="str">
        <f>IF(I7&gt;20000,"Meta Atingida","Não Atingida")</f>
        <v>Meta Atingida</v>
      </c>
      <c r="K7" s="250"/>
    </row>
    <row r="8" spans="1:12" x14ac:dyDescent="0.25">
      <c r="A8" s="242" t="s">
        <v>700</v>
      </c>
      <c r="B8" s="242" t="s">
        <v>704</v>
      </c>
      <c r="C8" s="243">
        <v>1600</v>
      </c>
      <c r="D8" s="243">
        <v>1800</v>
      </c>
      <c r="E8" s="243">
        <v>2300</v>
      </c>
      <c r="F8" s="140">
        <f t="shared" ref="F8:F12" si="0">SUM(C8:E8)</f>
        <v>5700</v>
      </c>
      <c r="G8" s="140">
        <f t="shared" ref="G8:G12" si="1">AVERAGE(C8:E8)</f>
        <v>1900</v>
      </c>
      <c r="H8" s="183">
        <v>8</v>
      </c>
      <c r="I8" s="140">
        <f t="shared" ref="I8:I12" si="2">H8*F8</f>
        <v>45600</v>
      </c>
      <c r="J8" s="183" t="str">
        <f t="shared" ref="J8:J12" si="3">IF(I8&gt;20000,"Meta Atingida","Não Atingida")</f>
        <v>Meta Atingida</v>
      </c>
      <c r="K8" s="250"/>
    </row>
    <row r="9" spans="1:12" x14ac:dyDescent="0.25">
      <c r="A9" s="242" t="s">
        <v>701</v>
      </c>
      <c r="B9" s="242" t="s">
        <v>705</v>
      </c>
      <c r="C9" s="243">
        <v>1300</v>
      </c>
      <c r="D9" s="243">
        <v>1500</v>
      </c>
      <c r="E9" s="243">
        <v>1800</v>
      </c>
      <c r="F9" s="140">
        <f t="shared" si="0"/>
        <v>4600</v>
      </c>
      <c r="G9" s="140">
        <f t="shared" si="1"/>
        <v>1533.3333333333333</v>
      </c>
      <c r="H9" s="183">
        <v>10</v>
      </c>
      <c r="I9" s="140">
        <f t="shared" si="2"/>
        <v>46000</v>
      </c>
      <c r="J9" s="183" t="str">
        <f t="shared" si="3"/>
        <v>Meta Atingida</v>
      </c>
      <c r="K9" s="250"/>
    </row>
    <row r="10" spans="1:12" x14ac:dyDescent="0.25">
      <c r="A10" s="242" t="s">
        <v>199</v>
      </c>
      <c r="B10" s="242" t="s">
        <v>706</v>
      </c>
      <c r="C10" s="243">
        <v>1200</v>
      </c>
      <c r="D10" s="243">
        <v>2500</v>
      </c>
      <c r="E10" s="243">
        <v>1900</v>
      </c>
      <c r="F10" s="140">
        <f t="shared" si="0"/>
        <v>5600</v>
      </c>
      <c r="G10" s="140">
        <f t="shared" si="1"/>
        <v>1866.6666666666667</v>
      </c>
      <c r="H10" s="183">
        <v>3</v>
      </c>
      <c r="I10" s="140">
        <f t="shared" si="2"/>
        <v>16800</v>
      </c>
      <c r="J10" s="183" t="str">
        <f t="shared" si="3"/>
        <v>Não Atingida</v>
      </c>
      <c r="K10" s="250"/>
    </row>
    <row r="11" spans="1:12" x14ac:dyDescent="0.25">
      <c r="A11" s="242" t="s">
        <v>242</v>
      </c>
      <c r="B11" s="242" t="s">
        <v>703</v>
      </c>
      <c r="C11" s="243">
        <v>2000</v>
      </c>
      <c r="D11" s="243">
        <v>1600</v>
      </c>
      <c r="E11" s="243">
        <v>1800</v>
      </c>
      <c r="F11" s="140">
        <f t="shared" si="0"/>
        <v>5400</v>
      </c>
      <c r="G11" s="140">
        <f t="shared" si="1"/>
        <v>1800</v>
      </c>
      <c r="H11" s="183">
        <v>6</v>
      </c>
      <c r="I11" s="140">
        <f t="shared" si="2"/>
        <v>32400</v>
      </c>
      <c r="J11" s="183" t="str">
        <f t="shared" si="3"/>
        <v>Meta Atingida</v>
      </c>
      <c r="K11" s="250"/>
    </row>
    <row r="12" spans="1:12" x14ac:dyDescent="0.25">
      <c r="A12" s="242" t="s">
        <v>702</v>
      </c>
      <c r="B12" s="242" t="s">
        <v>704</v>
      </c>
      <c r="C12" s="243">
        <v>800</v>
      </c>
      <c r="D12" s="243">
        <v>850</v>
      </c>
      <c r="E12" s="243">
        <v>900</v>
      </c>
      <c r="F12" s="140">
        <f t="shared" si="0"/>
        <v>2550</v>
      </c>
      <c r="G12" s="140">
        <f t="shared" si="1"/>
        <v>850</v>
      </c>
      <c r="H12" s="183">
        <v>4</v>
      </c>
      <c r="I12" s="140">
        <f t="shared" si="2"/>
        <v>10200</v>
      </c>
      <c r="J12" s="183" t="str">
        <f t="shared" si="3"/>
        <v>Não Atingida</v>
      </c>
      <c r="K12" s="250"/>
    </row>
    <row r="13" spans="1:12" x14ac:dyDescent="0.25">
      <c r="A13" s="249"/>
      <c r="B13" s="183" t="s">
        <v>63</v>
      </c>
      <c r="C13" s="244">
        <f>SUM(C7:C12)</f>
        <v>7550</v>
      </c>
      <c r="D13" s="244">
        <f t="shared" ref="D13:E13" si="4">SUM(D7:D12)</f>
        <v>9040</v>
      </c>
      <c r="E13" s="244">
        <f t="shared" si="4"/>
        <v>9010</v>
      </c>
      <c r="F13" s="244">
        <f t="shared" ref="F13" si="5">SUM(F7:F12)</f>
        <v>25600</v>
      </c>
      <c r="G13" s="244">
        <f t="shared" ref="G13" si="6">SUM(G7:G12)</f>
        <v>8533.3333333333339</v>
      </c>
      <c r="H13" s="245">
        <f>SUM(H7:H12)</f>
        <v>46</v>
      </c>
      <c r="I13" s="140">
        <f>SUM(I7:I12)</f>
        <v>177250</v>
      </c>
      <c r="J13" s="248"/>
      <c r="K13" s="250"/>
    </row>
    <row r="14" spans="1:12" x14ac:dyDescent="0.25">
      <c r="A14" s="251"/>
      <c r="B14" s="252"/>
      <c r="C14" s="252"/>
      <c r="D14" s="252"/>
      <c r="E14" s="252"/>
      <c r="F14" s="252"/>
      <c r="G14" s="252"/>
      <c r="H14" s="252"/>
      <c r="I14" s="252"/>
      <c r="J14" s="252"/>
      <c r="K14" s="253"/>
    </row>
  </sheetData>
  <autoFilter ref="A6:J13"/>
  <mergeCells count="2">
    <mergeCell ref="C5:E5"/>
    <mergeCell ref="A1:K1"/>
  </mergeCell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1"/>
  <sheetViews>
    <sheetView workbookViewId="0">
      <selection activeCell="F23" sqref="F23"/>
    </sheetView>
  </sheetViews>
  <sheetFormatPr defaultRowHeight="15" x14ac:dyDescent="0.25"/>
  <cols>
    <col min="1" max="1" width="22.85546875" customWidth="1"/>
    <col min="2" max="2" width="16.85546875" bestFit="1" customWidth="1"/>
    <col min="3" max="3" width="12.140625" bestFit="1" customWidth="1"/>
    <col min="4" max="4" width="20" bestFit="1" customWidth="1"/>
    <col min="6" max="6" width="22.140625" bestFit="1" customWidth="1"/>
  </cols>
  <sheetData>
    <row r="1" spans="1:6" ht="31.5" customHeight="1" x14ac:dyDescent="0.25">
      <c r="A1" s="40" t="s">
        <v>105</v>
      </c>
      <c r="B1" s="40" t="s">
        <v>709</v>
      </c>
      <c r="C1" s="40" t="s">
        <v>39</v>
      </c>
      <c r="D1" s="255" t="s">
        <v>710</v>
      </c>
    </row>
    <row r="2" spans="1:6" hidden="1" x14ac:dyDescent="0.25">
      <c r="A2" s="254">
        <v>43101</v>
      </c>
      <c r="B2" s="237" t="s">
        <v>711</v>
      </c>
      <c r="C2" s="15">
        <f ca="1">RANDBETWEEN(200,2000)</f>
        <v>630</v>
      </c>
      <c r="D2" s="237" t="s">
        <v>715</v>
      </c>
      <c r="F2" t="s">
        <v>720</v>
      </c>
    </row>
    <row r="3" spans="1:6" x14ac:dyDescent="0.25">
      <c r="A3" s="254">
        <v>43102</v>
      </c>
      <c r="B3" s="237" t="s">
        <v>712</v>
      </c>
      <c r="C3" s="15">
        <f t="shared" ref="C3:C21" ca="1" si="0">RANDBETWEEN(200,2000)</f>
        <v>1716</v>
      </c>
      <c r="D3" s="237" t="s">
        <v>716</v>
      </c>
    </row>
    <row r="4" spans="1:6" hidden="1" x14ac:dyDescent="0.25">
      <c r="A4" s="254">
        <v>43103</v>
      </c>
      <c r="B4" s="237" t="s">
        <v>713</v>
      </c>
      <c r="C4" s="15">
        <f t="shared" ca="1" si="0"/>
        <v>607</v>
      </c>
      <c r="D4" s="237" t="s">
        <v>715</v>
      </c>
    </row>
    <row r="5" spans="1:6" x14ac:dyDescent="0.25">
      <c r="A5" s="254">
        <v>43104</v>
      </c>
      <c r="B5" s="237" t="s">
        <v>714</v>
      </c>
      <c r="C5" s="15">
        <f t="shared" ca="1" si="0"/>
        <v>607</v>
      </c>
      <c r="D5" s="237" t="s">
        <v>716</v>
      </c>
    </row>
    <row r="6" spans="1:6" hidden="1" x14ac:dyDescent="0.25">
      <c r="A6" s="254">
        <v>43105</v>
      </c>
      <c r="B6" s="237" t="s">
        <v>711</v>
      </c>
      <c r="C6" s="15">
        <f t="shared" ca="1" si="0"/>
        <v>1837</v>
      </c>
      <c r="D6" s="237" t="s">
        <v>715</v>
      </c>
    </row>
    <row r="7" spans="1:6" x14ac:dyDescent="0.25">
      <c r="A7" s="254">
        <v>43106</v>
      </c>
      <c r="B7" s="237" t="s">
        <v>712</v>
      </c>
      <c r="C7" s="15">
        <f t="shared" ca="1" si="0"/>
        <v>1057</v>
      </c>
      <c r="D7" s="237" t="s">
        <v>716</v>
      </c>
    </row>
    <row r="8" spans="1:6" hidden="1" x14ac:dyDescent="0.25">
      <c r="A8" s="254">
        <v>43107</v>
      </c>
      <c r="B8" s="237" t="s">
        <v>713</v>
      </c>
      <c r="C8" s="15">
        <f t="shared" ca="1" si="0"/>
        <v>1810</v>
      </c>
      <c r="D8" s="237" t="s">
        <v>715</v>
      </c>
    </row>
    <row r="9" spans="1:6" x14ac:dyDescent="0.25">
      <c r="A9" s="254">
        <v>43108</v>
      </c>
      <c r="B9" s="237" t="s">
        <v>714</v>
      </c>
      <c r="C9" s="15">
        <f t="shared" ca="1" si="0"/>
        <v>366</v>
      </c>
      <c r="D9" s="237" t="s">
        <v>716</v>
      </c>
    </row>
    <row r="10" spans="1:6" hidden="1" x14ac:dyDescent="0.25">
      <c r="A10" s="254">
        <v>43109</v>
      </c>
      <c r="B10" s="237" t="s">
        <v>711</v>
      </c>
      <c r="C10" s="15">
        <f t="shared" ca="1" si="0"/>
        <v>1720</v>
      </c>
      <c r="D10" s="237" t="s">
        <v>715</v>
      </c>
    </row>
    <row r="11" spans="1:6" x14ac:dyDescent="0.25">
      <c r="A11" s="254">
        <v>43110</v>
      </c>
      <c r="B11" s="237" t="s">
        <v>712</v>
      </c>
      <c r="C11" s="15">
        <f t="shared" ca="1" si="0"/>
        <v>1937</v>
      </c>
      <c r="D11" s="237" t="s">
        <v>716</v>
      </c>
    </row>
    <row r="12" spans="1:6" hidden="1" x14ac:dyDescent="0.25">
      <c r="A12" s="254">
        <v>43111</v>
      </c>
      <c r="B12" s="237" t="s">
        <v>713</v>
      </c>
      <c r="C12" s="15">
        <v>300</v>
      </c>
      <c r="D12" s="237" t="s">
        <v>715</v>
      </c>
    </row>
    <row r="13" spans="1:6" x14ac:dyDescent="0.25">
      <c r="A13" s="254">
        <v>43112</v>
      </c>
      <c r="B13" s="237" t="s">
        <v>714</v>
      </c>
      <c r="C13" s="15">
        <f t="shared" ca="1" si="0"/>
        <v>763</v>
      </c>
      <c r="D13" s="237" t="s">
        <v>716</v>
      </c>
      <c r="F13" s="259"/>
    </row>
    <row r="14" spans="1:6" hidden="1" x14ac:dyDescent="0.25">
      <c r="A14" s="254">
        <v>43113</v>
      </c>
      <c r="B14" s="237" t="s">
        <v>711</v>
      </c>
      <c r="C14" s="15">
        <f t="shared" ca="1" si="0"/>
        <v>844</v>
      </c>
      <c r="D14" s="237" t="s">
        <v>715</v>
      </c>
    </row>
    <row r="15" spans="1:6" x14ac:dyDescent="0.25">
      <c r="A15" s="254">
        <v>43114</v>
      </c>
      <c r="B15" s="237" t="s">
        <v>712</v>
      </c>
      <c r="C15" s="15">
        <f t="shared" ca="1" si="0"/>
        <v>1991</v>
      </c>
      <c r="D15" s="237" t="s">
        <v>716</v>
      </c>
    </row>
    <row r="16" spans="1:6" hidden="1" x14ac:dyDescent="0.25">
      <c r="A16" s="254">
        <v>43115</v>
      </c>
      <c r="B16" s="237" t="s">
        <v>713</v>
      </c>
      <c r="C16" s="15">
        <f t="shared" ca="1" si="0"/>
        <v>531</v>
      </c>
      <c r="D16" s="237" t="s">
        <v>715</v>
      </c>
    </row>
    <row r="17" spans="1:4" x14ac:dyDescent="0.25">
      <c r="A17" s="254">
        <v>43116</v>
      </c>
      <c r="B17" s="237" t="s">
        <v>714</v>
      </c>
      <c r="C17" s="15">
        <f t="shared" ca="1" si="0"/>
        <v>595</v>
      </c>
      <c r="D17" s="237" t="s">
        <v>716</v>
      </c>
    </row>
    <row r="18" spans="1:4" hidden="1" x14ac:dyDescent="0.25">
      <c r="A18" s="254">
        <v>43117</v>
      </c>
      <c r="B18" s="237" t="s">
        <v>711</v>
      </c>
      <c r="C18" s="15">
        <f t="shared" ca="1" si="0"/>
        <v>680</v>
      </c>
      <c r="D18" s="237" t="s">
        <v>715</v>
      </c>
    </row>
    <row r="19" spans="1:4" x14ac:dyDescent="0.25">
      <c r="A19" s="254">
        <v>43118</v>
      </c>
      <c r="B19" s="237" t="s">
        <v>712</v>
      </c>
      <c r="C19" s="15">
        <f t="shared" ca="1" si="0"/>
        <v>1772</v>
      </c>
      <c r="D19" s="237" t="s">
        <v>716</v>
      </c>
    </row>
    <row r="20" spans="1:4" hidden="1" x14ac:dyDescent="0.25">
      <c r="A20" s="254">
        <v>43119</v>
      </c>
      <c r="B20" s="237" t="s">
        <v>713</v>
      </c>
      <c r="C20" s="15">
        <f t="shared" ca="1" si="0"/>
        <v>236</v>
      </c>
      <c r="D20" s="237" t="s">
        <v>715</v>
      </c>
    </row>
    <row r="21" spans="1:4" x14ac:dyDescent="0.25">
      <c r="A21" s="254">
        <v>43120</v>
      </c>
      <c r="B21" s="237" t="s">
        <v>714</v>
      </c>
      <c r="C21" s="15">
        <f t="shared" ca="1" si="0"/>
        <v>428</v>
      </c>
      <c r="D21" s="237" t="s">
        <v>716</v>
      </c>
    </row>
  </sheetData>
  <autoFilter ref="A1:D21">
    <filterColumn colId="3">
      <filters>
        <filter val="Débito"/>
      </filters>
    </filterColumn>
  </autoFilter>
  <pageMargins left="0.511811024" right="0.511811024" top="0.78740157499999996" bottom="0.78740157499999996" header="0.31496062000000002" footer="0.3149606200000000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6"/>
  <sheetViews>
    <sheetView topLeftCell="A10" workbookViewId="0">
      <selection activeCell="E28" sqref="E28"/>
    </sheetView>
  </sheetViews>
  <sheetFormatPr defaultRowHeight="15" x14ac:dyDescent="0.25"/>
  <cols>
    <col min="1" max="1" width="16.85546875" bestFit="1" customWidth="1"/>
    <col min="2" max="2" width="13.85546875" bestFit="1" customWidth="1"/>
    <col min="4" max="4" width="16.85546875" bestFit="1" customWidth="1"/>
    <col min="5" max="5" width="18.140625" bestFit="1" customWidth="1"/>
  </cols>
  <sheetData>
    <row r="3" spans="1:5" x14ac:dyDescent="0.25">
      <c r="A3" s="130" t="s">
        <v>718</v>
      </c>
      <c r="B3" s="241" t="s">
        <v>717</v>
      </c>
      <c r="D3" s="130" t="s">
        <v>718</v>
      </c>
      <c r="E3" s="241" t="s">
        <v>719</v>
      </c>
    </row>
    <row r="4" spans="1:5" x14ac:dyDescent="0.25">
      <c r="A4" s="241" t="s">
        <v>714</v>
      </c>
      <c r="B4" s="66">
        <v>6807</v>
      </c>
      <c r="D4" s="241" t="s">
        <v>714</v>
      </c>
      <c r="E4" s="256">
        <v>5</v>
      </c>
    </row>
    <row r="5" spans="1:5" x14ac:dyDescent="0.25">
      <c r="A5" s="241" t="s">
        <v>712</v>
      </c>
      <c r="B5" s="66">
        <v>5517</v>
      </c>
      <c r="D5" s="241" t="s">
        <v>712</v>
      </c>
      <c r="E5" s="256">
        <v>5</v>
      </c>
    </row>
    <row r="6" spans="1:5" x14ac:dyDescent="0.25">
      <c r="A6" s="241" t="s">
        <v>156</v>
      </c>
      <c r="B6" s="66">
        <v>12324</v>
      </c>
      <c r="D6" s="241" t="s">
        <v>156</v>
      </c>
      <c r="E6" s="256">
        <v>10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7" sqref="D17"/>
    </sheetView>
  </sheetViews>
  <sheetFormatPr defaultRowHeight="15" x14ac:dyDescent="0.25"/>
  <cols>
    <col min="1" max="1" width="16.42578125" customWidth="1"/>
    <col min="2" max="2" width="32.140625" customWidth="1"/>
    <col min="3" max="3" width="22.28515625" customWidth="1"/>
    <col min="4" max="4" width="21" customWidth="1"/>
  </cols>
  <sheetData>
    <row r="1" spans="1:4" ht="27.75" customHeight="1" x14ac:dyDescent="0.25">
      <c r="A1" s="380" t="s">
        <v>721</v>
      </c>
      <c r="B1" s="380"/>
      <c r="C1" s="380"/>
      <c r="D1" s="380"/>
    </row>
    <row r="2" spans="1:4" x14ac:dyDescent="0.25">
      <c r="A2" s="114" t="s">
        <v>722</v>
      </c>
      <c r="B2" s="114" t="s">
        <v>723</v>
      </c>
      <c r="C2" s="114" t="s">
        <v>724</v>
      </c>
      <c r="D2" s="114" t="s">
        <v>725</v>
      </c>
    </row>
    <row r="3" spans="1:4" x14ac:dyDescent="0.25">
      <c r="A3" s="261" t="s">
        <v>726</v>
      </c>
      <c r="B3" s="261" t="str">
        <f>IF(A3=D3,"Cor Fria",IF(A3=D4,"Cor Fria",IF(A3=D5,"Cor Fria",IF(A3=D6,"Cor Quente",IF(A3=D7,"Cor Quente",IF(A3=D8,"Cor Quente",""))))))</f>
        <v>Cor Fria</v>
      </c>
      <c r="C3" s="260" t="e">
        <f ca="1">ses(A3=D3,"Fria",A3=D4,"Fria")</f>
        <v>#NAME?</v>
      </c>
      <c r="D3" s="240" t="s">
        <v>726</v>
      </c>
    </row>
    <row r="4" spans="1:4" x14ac:dyDescent="0.25">
      <c r="D4" s="240" t="s">
        <v>727</v>
      </c>
    </row>
    <row r="5" spans="1:4" x14ac:dyDescent="0.25">
      <c r="D5" s="240" t="s">
        <v>728</v>
      </c>
    </row>
    <row r="6" spans="1:4" x14ac:dyDescent="0.25">
      <c r="D6" s="240" t="s">
        <v>729</v>
      </c>
    </row>
    <row r="7" spans="1:4" x14ac:dyDescent="0.25">
      <c r="D7" s="240" t="s">
        <v>730</v>
      </c>
    </row>
    <row r="8" spans="1:4" x14ac:dyDescent="0.25">
      <c r="D8" s="240" t="s">
        <v>731</v>
      </c>
    </row>
  </sheetData>
  <mergeCells count="1">
    <mergeCell ref="A1:D1"/>
  </mergeCells>
  <dataValidations count="1">
    <dataValidation type="list" allowBlank="1" showInputMessage="1" showErrorMessage="1" sqref="A3">
      <formula1>$D$3:$D$8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E14" sqref="D14:E14"/>
    </sheetView>
  </sheetViews>
  <sheetFormatPr defaultRowHeight="15" x14ac:dyDescent="0.25"/>
  <cols>
    <col min="2" max="2" width="36.85546875" customWidth="1"/>
  </cols>
  <sheetData>
    <row r="1" spans="1:2" ht="27" customHeight="1" x14ac:dyDescent="0.25">
      <c r="A1" s="381" t="s">
        <v>732</v>
      </c>
      <c r="B1" s="381"/>
    </row>
    <row r="2" spans="1:2" ht="21" customHeight="1" x14ac:dyDescent="0.25">
      <c r="A2" s="263" t="s">
        <v>733</v>
      </c>
      <c r="B2" s="263" t="s">
        <v>178</v>
      </c>
    </row>
    <row r="3" spans="1:2" x14ac:dyDescent="0.25">
      <c r="A3" s="262" t="s">
        <v>8</v>
      </c>
      <c r="B3" s="241"/>
    </row>
    <row r="4" spans="1:2" x14ac:dyDescent="0.25">
      <c r="A4" s="262" t="s">
        <v>10</v>
      </c>
      <c r="B4" s="241"/>
    </row>
    <row r="5" spans="1:2" x14ac:dyDescent="0.25">
      <c r="A5" s="262" t="s">
        <v>9</v>
      </c>
      <c r="B5" s="241"/>
    </row>
    <row r="6" spans="1:2" x14ac:dyDescent="0.25">
      <c r="A6" s="262" t="s">
        <v>11</v>
      </c>
      <c r="B6" s="241"/>
    </row>
    <row r="7" spans="1:2" x14ac:dyDescent="0.25">
      <c r="A7" s="262" t="s">
        <v>10</v>
      </c>
      <c r="B7" s="241"/>
    </row>
    <row r="8" spans="1:2" x14ac:dyDescent="0.25">
      <c r="A8" s="262" t="s">
        <v>11</v>
      </c>
      <c r="B8" s="241"/>
    </row>
    <row r="9" spans="1:2" x14ac:dyDescent="0.25">
      <c r="A9" s="262" t="s">
        <v>8</v>
      </c>
      <c r="B9" s="241"/>
    </row>
    <row r="10" spans="1:2" x14ac:dyDescent="0.25">
      <c r="A10" s="262" t="s">
        <v>9</v>
      </c>
      <c r="B10" s="241"/>
    </row>
    <row r="11" spans="1:2" x14ac:dyDescent="0.25">
      <c r="A11" s="262" t="s">
        <v>8</v>
      </c>
      <c r="B11" s="241"/>
    </row>
    <row r="12" spans="1:2" x14ac:dyDescent="0.25">
      <c r="A12" s="262" t="s">
        <v>9</v>
      </c>
      <c r="B12" s="241"/>
    </row>
    <row r="13" spans="1:2" x14ac:dyDescent="0.25">
      <c r="A13" s="262" t="s">
        <v>9</v>
      </c>
      <c r="B13" s="241"/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H15" sqref="H15"/>
    </sheetView>
  </sheetViews>
  <sheetFormatPr defaultRowHeight="15" x14ac:dyDescent="0.25"/>
  <cols>
    <col min="2" max="2" width="32.42578125" customWidth="1"/>
    <col min="4" max="4" width="10.140625" bestFit="1" customWidth="1"/>
    <col min="5" max="5" width="19" customWidth="1"/>
  </cols>
  <sheetData>
    <row r="1" spans="1:7" x14ac:dyDescent="0.25">
      <c r="A1" s="382" t="s">
        <v>734</v>
      </c>
      <c r="B1" s="382"/>
      <c r="D1" s="382" t="s">
        <v>735</v>
      </c>
      <c r="E1" s="382"/>
    </row>
    <row r="2" spans="1:7" x14ac:dyDescent="0.25">
      <c r="A2" s="258" t="s">
        <v>736</v>
      </c>
      <c r="B2" s="383" t="str">
        <f>CONCATENATE(A2," ",A3," ",A4)</f>
        <v>ROBERTO XAVIER SOARES</v>
      </c>
      <c r="D2" s="258" t="s">
        <v>739</v>
      </c>
      <c r="E2" t="e">
        <f ca="1">unirtexto(" ",TRUE,D2:D4)</f>
        <v>#NAME?</v>
      </c>
    </row>
    <row r="3" spans="1:7" x14ac:dyDescent="0.25">
      <c r="A3" s="258" t="s">
        <v>737</v>
      </c>
      <c r="D3" s="258" t="s">
        <v>740</v>
      </c>
    </row>
    <row r="4" spans="1:7" x14ac:dyDescent="0.25">
      <c r="A4" s="258" t="s">
        <v>738</v>
      </c>
      <c r="D4" s="257" t="s">
        <v>741</v>
      </c>
      <c r="E4" s="338" t="s">
        <v>742</v>
      </c>
      <c r="F4" s="338"/>
      <c r="G4" s="338"/>
    </row>
    <row r="5" spans="1:7" x14ac:dyDescent="0.25">
      <c r="E5" s="338"/>
      <c r="F5" s="338"/>
      <c r="G5" s="338"/>
    </row>
    <row r="6" spans="1:7" x14ac:dyDescent="0.25">
      <c r="E6" s="338"/>
      <c r="F6" s="338"/>
      <c r="G6" s="338"/>
    </row>
    <row r="7" spans="1:7" x14ac:dyDescent="0.25">
      <c r="E7" s="338"/>
      <c r="F7" s="338"/>
      <c r="G7" s="338"/>
    </row>
  </sheetData>
  <mergeCells count="3">
    <mergeCell ref="A1:B1"/>
    <mergeCell ref="D1:E1"/>
    <mergeCell ref="E4:G7"/>
  </mergeCells>
  <pageMargins left="0.511811024" right="0.511811024" top="0.78740157499999996" bottom="0.78740157499999996" header="0.31496062000000002" footer="0.3149606200000000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53</vt:i4>
      </vt:variant>
      <vt:variant>
        <vt:lpstr>Intervalos nomeados</vt:lpstr>
      </vt:variant>
      <vt:variant>
        <vt:i4>17</vt:i4>
      </vt:variant>
    </vt:vector>
  </HeadingPairs>
  <TitlesOfParts>
    <vt:vector size="70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Planilha2</vt:lpstr>
      <vt:lpstr>Segmentação de Dados</vt:lpstr>
      <vt:lpstr>Gráfico Dinamico e Segmentação</vt:lpstr>
      <vt:lpstr>Planilha de Testes</vt:lpstr>
      <vt:lpstr>Vinculo entre Planilhas</vt:lpstr>
      <vt:lpstr>Barra de rolagem</vt:lpstr>
      <vt:lpstr>Funções Financeiras</vt:lpstr>
      <vt:lpstr>Fluxograma</vt:lpstr>
      <vt:lpstr>Juros Simples</vt:lpstr>
      <vt:lpstr>Planilha5</vt:lpstr>
      <vt:lpstr>Planilha de Previsão</vt:lpstr>
      <vt:lpstr>Atingir Meta</vt:lpstr>
      <vt:lpstr>Gerenciador de Cenários</vt:lpstr>
      <vt:lpstr>Menu Lateral</vt:lpstr>
      <vt:lpstr>Plan Lat1</vt:lpstr>
      <vt:lpstr>Plan Lat2</vt:lpstr>
      <vt:lpstr>Função Transpor</vt:lpstr>
      <vt:lpstr>Controle de acesso</vt:lpstr>
      <vt:lpstr>Gráfico com indicadores</vt:lpstr>
      <vt:lpstr>Impressão</vt:lpstr>
      <vt:lpstr>Macros</vt:lpstr>
      <vt:lpstr>Dashboard</vt:lpstr>
      <vt:lpstr>Planilha3</vt:lpstr>
      <vt:lpstr>Nova Funcionalidade SES</vt:lpstr>
      <vt:lpstr>Função Parametro</vt:lpstr>
      <vt:lpstr>Função Concat Unir texto</vt:lpstr>
      <vt:lpstr>Função Éerro e Érros</vt:lpstr>
      <vt:lpstr>aplicacao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Salarios</vt:lpstr>
      <vt:lpstr>Sobremesas</vt:lpstr>
      <vt:lpstr>Tab_Clientes</vt:lpstr>
      <vt:lpstr>Tab_Produtos</vt:lpstr>
      <vt:lpstr>TabelaA</vt:lpstr>
      <vt:lpstr>TabelaB</vt:lpstr>
      <vt:lpstr>taxa</vt:lpstr>
      <vt:lpstr>Trabalho</vt:lpstr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Luciano</cp:lastModifiedBy>
  <cp:lastPrinted>2023-01-01T15:22:40Z</cp:lastPrinted>
  <dcterms:created xsi:type="dcterms:W3CDTF">2022-12-03T12:27:25Z</dcterms:created>
  <dcterms:modified xsi:type="dcterms:W3CDTF">2023-01-07T15:52:37Z</dcterms:modified>
</cp:coreProperties>
</file>