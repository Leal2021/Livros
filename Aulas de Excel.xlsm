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7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Helena\Desktop\"/>
    </mc:Choice>
  </mc:AlternateContent>
  <bookViews>
    <workbookView xWindow="0" yWindow="0" windowWidth="11670" windowHeight="4575" firstSheet="22" activeTab="23"/>
  </bookViews>
  <sheets>
    <sheet name="Formatação Condicional" sheetId="1" r:id="rId1"/>
    <sheet name="McDonalds" sheetId="2" r:id="rId2"/>
    <sheet name="Nota Fiscal" sheetId="3" r:id="rId3"/>
    <sheet name="Função SomaSE" sheetId="4" r:id="rId4"/>
    <sheet name="Procv Exponenciação" sheetId="5" r:id="rId5"/>
    <sheet name="Proch" sheetId="6" r:id="rId6"/>
    <sheet name="Caixas de Combinação" sheetId="7" r:id="rId7"/>
    <sheet name="Caixas de Combinação_Matriz" sheetId="8" r:id="rId8"/>
    <sheet name="Sistema de Cadastro" sheetId="9" r:id="rId9"/>
    <sheet name="Cadastrados" sheetId="10" r:id="rId10"/>
    <sheet name="BDContar" sheetId="12" r:id="rId11"/>
    <sheet name="BDSomar" sheetId="13" r:id="rId12"/>
    <sheet name="BDExtrair" sheetId="14" r:id="rId13"/>
    <sheet name="Função SeErro" sheetId="15" r:id="rId14"/>
    <sheet name="Função Escolher" sheetId="16" r:id="rId15"/>
    <sheet name="Gráfico" sheetId="17" r:id="rId16"/>
    <sheet name="Função Corresp" sheetId="18" r:id="rId17"/>
    <sheet name="Função Matricial" sheetId="19" r:id="rId18"/>
    <sheet name="Função Solver" sheetId="20" r:id="rId19"/>
    <sheet name="Tabela Dinâmica" sheetId="21" r:id="rId20"/>
    <sheet name="Resultado Tab Dinamica" sheetId="22" r:id="rId21"/>
    <sheet name="Folha de Pagamento" sheetId="23" r:id="rId22"/>
    <sheet name="Filtro Avançado com Macro" sheetId="24" r:id="rId23"/>
    <sheet name="Fluxo" sheetId="32" r:id="rId24"/>
    <sheet name="Entradas" sheetId="33" r:id="rId25"/>
    <sheet name="Saidas" sheetId="34" r:id="rId26"/>
  </sheets>
  <definedNames>
    <definedName name="_xlnm._FilterDatabase" localSheetId="22" hidden="1">'Filtro Avançado com Macro'!$A$1:$C$10</definedName>
    <definedName name="_xlnm.Extract" localSheetId="22">'Filtro Avançado com Macro'!$E$5:$G$5</definedName>
    <definedName name="_xlnm.Criteria" localSheetId="22">'Filtro Avançado com Macro'!$E$1:$G$2</definedName>
    <definedName name="Dados">BDExtrair!$A$4:$C$10</definedName>
    <definedName name="Descontos">Proch!$B$23:$F$25</definedName>
    <definedName name="Imc">'Procv Exponenciação'!$A$13:$C$17</definedName>
    <definedName name="Lanches">McDonalds!$A$4:$E$11</definedName>
    <definedName name="Prova">'Formatação Condicional'!$H$3:$I$7</definedName>
    <definedName name="Sobremesas">McDonalds!$G$4:$I$7</definedName>
    <definedName name="solver_adj" localSheetId="18" hidden="1">'Função Solver'!$I$10:$I$13</definedName>
    <definedName name="solver_cvg" localSheetId="18" hidden="1">0.0001</definedName>
    <definedName name="solver_drv" localSheetId="18" hidden="1">1</definedName>
    <definedName name="solver_eng" localSheetId="18" hidden="1">1</definedName>
    <definedName name="solver_est" localSheetId="18" hidden="1">1</definedName>
    <definedName name="solver_itr" localSheetId="18" hidden="1">2147483647</definedName>
    <definedName name="solver_mip" localSheetId="18" hidden="1">2147483647</definedName>
    <definedName name="solver_mni" localSheetId="18" hidden="1">30</definedName>
    <definedName name="solver_mrt" localSheetId="18" hidden="1">0.075</definedName>
    <definedName name="solver_msl" localSheetId="18" hidden="1">2</definedName>
    <definedName name="solver_neg" localSheetId="18" hidden="1">1</definedName>
    <definedName name="solver_nod" localSheetId="18" hidden="1">2147483647</definedName>
    <definedName name="solver_num" localSheetId="18" hidden="1">0</definedName>
    <definedName name="solver_nwt" localSheetId="18" hidden="1">1</definedName>
    <definedName name="solver_opt" localSheetId="18" hidden="1">'Função Solver'!$I$14</definedName>
    <definedName name="solver_pre" localSheetId="18" hidden="1">0.000001</definedName>
    <definedName name="solver_rbv" localSheetId="18" hidden="1">1</definedName>
    <definedName name="solver_rlx" localSheetId="18" hidden="1">2</definedName>
    <definedName name="solver_rsd" localSheetId="18" hidden="1">0</definedName>
    <definedName name="solver_scl" localSheetId="18" hidden="1">1</definedName>
    <definedName name="solver_sho" localSheetId="18" hidden="1">2</definedName>
    <definedName name="solver_ssz" localSheetId="18" hidden="1">100</definedName>
    <definedName name="solver_tim" localSheetId="18" hidden="1">2147483647</definedName>
    <definedName name="solver_tol" localSheetId="18" hidden="1">0.01</definedName>
    <definedName name="solver_typ" localSheetId="18" hidden="1">3</definedName>
    <definedName name="solver_val" localSheetId="18" hidden="1">750</definedName>
    <definedName name="solver_ver" localSheetId="18" hidden="1">3</definedName>
    <definedName name="Tab_Clientes">'Nota Fiscal'!$G$15:$J$22</definedName>
    <definedName name="Tab_Produtos">'Nota Fiscal'!$A$15:$E$22</definedName>
    <definedName name="TabelaA">'Procv Exponenciação'!$C$30:$D$34</definedName>
    <definedName name="TabelaB">'Procv Exponenciação'!$A$30:$B$34</definedName>
    <definedName name="Trabalho">'Formatação Condicional'!$C$8:$G$9</definedName>
  </definedNames>
  <calcPr calcId="162913"/>
  <pivotCaches>
    <pivotCache cacheId="0" r:id="rId2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32" l="1"/>
  <c r="C3" i="34" l="1"/>
  <c r="B11" i="32" s="1"/>
  <c r="D3" i="33"/>
  <c r="A10" i="32"/>
  <c r="E4" i="32" l="1"/>
  <c r="B5" i="32"/>
  <c r="E5" i="32"/>
  <c r="C10" i="32" s="1"/>
  <c r="N3" i="23"/>
  <c r="K8" i="23"/>
  <c r="O4" i="23"/>
  <c r="O5" i="23"/>
  <c r="O6" i="23"/>
  <c r="O7" i="23"/>
  <c r="O8" i="23"/>
  <c r="O3" i="23"/>
  <c r="M4" i="23"/>
  <c r="M5" i="23"/>
  <c r="M6" i="23"/>
  <c r="M7" i="23"/>
  <c r="M8" i="23"/>
  <c r="M3" i="23"/>
  <c r="K4" i="23"/>
  <c r="K5" i="23"/>
  <c r="K6" i="23"/>
  <c r="K7" i="23"/>
  <c r="K3" i="23"/>
  <c r="J4" i="23"/>
  <c r="J5" i="23"/>
  <c r="J6" i="23"/>
  <c r="J7" i="23"/>
  <c r="J8" i="23"/>
  <c r="J3" i="23"/>
  <c r="G4" i="23"/>
  <c r="N4" i="23" s="1"/>
  <c r="G5" i="23"/>
  <c r="N5" i="23" s="1"/>
  <c r="G6" i="23"/>
  <c r="G7" i="23"/>
  <c r="N7" i="23" s="1"/>
  <c r="G8" i="23"/>
  <c r="N8" i="23" s="1"/>
  <c r="G3" i="23"/>
  <c r="D4" i="23"/>
  <c r="D5" i="23"/>
  <c r="D6" i="23"/>
  <c r="D7" i="23"/>
  <c r="D8" i="23"/>
  <c r="D3" i="23"/>
  <c r="C4" i="23"/>
  <c r="C5" i="23"/>
  <c r="C6" i="23"/>
  <c r="C7" i="23"/>
  <c r="C8" i="23"/>
  <c r="C3" i="23"/>
  <c r="B9" i="23"/>
  <c r="I14" i="20"/>
  <c r="N6" i="23" l="1"/>
  <c r="E3" i="20"/>
  <c r="E4" i="20"/>
  <c r="E5" i="20"/>
  <c r="E6" i="20"/>
  <c r="E7" i="20"/>
  <c r="E8" i="20"/>
  <c r="E9" i="20"/>
  <c r="E10" i="20"/>
  <c r="E11" i="20"/>
  <c r="E12" i="20"/>
  <c r="E2" i="20"/>
  <c r="A49" i="19"/>
  <c r="C29" i="19" a="1"/>
  <c r="C29" i="19" s="1"/>
  <c r="F21" i="19" a="1"/>
  <c r="F21" i="19"/>
  <c r="F22" i="19"/>
  <c r="F23" i="19"/>
  <c r="F24" i="19"/>
  <c r="F25" i="19"/>
  <c r="F26" i="19"/>
  <c r="E21" i="19"/>
  <c r="E22" i="19"/>
  <c r="E23" i="19"/>
  <c r="E24" i="19"/>
  <c r="E25" i="19"/>
  <c r="E26" i="19"/>
  <c r="D27" i="19"/>
  <c r="D22" i="19"/>
  <c r="D23" i="19"/>
  <c r="D24" i="19"/>
  <c r="D25" i="19"/>
  <c r="D26" i="19"/>
  <c r="D21" i="19"/>
  <c r="C3" i="19" a="1"/>
  <c r="C3" i="19"/>
  <c r="D3" i="19" s="1"/>
  <c r="C4" i="19"/>
  <c r="D4" i="19" s="1"/>
  <c r="C5" i="19"/>
  <c r="D5" i="19" s="1"/>
  <c r="C6" i="19"/>
  <c r="D6" i="19" s="1"/>
  <c r="C7" i="19"/>
  <c r="D7" i="19" s="1"/>
  <c r="C8" i="19"/>
  <c r="D8" i="19" s="1"/>
  <c r="C9" i="19"/>
  <c r="D9" i="19" s="1"/>
  <c r="C10" i="19"/>
  <c r="D10" i="19" s="1"/>
  <c r="C11" i="19"/>
  <c r="D11" i="19" s="1"/>
  <c r="C12" i="19"/>
  <c r="D12" i="19" s="1"/>
  <c r="C20" i="18"/>
  <c r="E14" i="20" l="1"/>
  <c r="H5" i="18"/>
  <c r="H2" i="18"/>
  <c r="E3" i="18"/>
  <c r="E4" i="18"/>
  <c r="E5" i="18"/>
  <c r="E6" i="18"/>
  <c r="E7" i="18"/>
  <c r="E2" i="18"/>
  <c r="E9" i="17"/>
  <c r="E4" i="17"/>
  <c r="E5" i="17"/>
  <c r="E6" i="17"/>
  <c r="E7" i="17"/>
  <c r="E8" i="17"/>
  <c r="E3" i="17"/>
  <c r="G1" i="19" l="1"/>
  <c r="B27" i="16"/>
  <c r="B25" i="16"/>
  <c r="A23" i="16"/>
  <c r="B18" i="16"/>
  <c r="C18" i="16" s="1"/>
  <c r="A18" i="16"/>
  <c r="B12" i="16"/>
  <c r="B11" i="16"/>
  <c r="B10" i="16"/>
  <c r="B9" i="16"/>
  <c r="D3" i="15"/>
  <c r="E3" i="15" s="1"/>
  <c r="D4" i="15"/>
  <c r="E4" i="15" s="1"/>
  <c r="D5" i="15"/>
  <c r="E5" i="15" s="1"/>
  <c r="D6" i="15"/>
  <c r="E6" i="15" s="1"/>
  <c r="D7" i="15"/>
  <c r="E7" i="15" s="1"/>
  <c r="D8" i="15"/>
  <c r="E8" i="15" s="1"/>
  <c r="D9" i="15"/>
  <c r="E9" i="15" s="1"/>
  <c r="D2" i="15"/>
  <c r="E2" i="15" s="1"/>
  <c r="G5" i="14"/>
  <c r="G4" i="14"/>
  <c r="G3" i="14"/>
  <c r="F4" i="13"/>
  <c r="C33" i="12"/>
  <c r="C24" i="12"/>
  <c r="E20" i="12"/>
  <c r="A12" i="12"/>
  <c r="C16" i="9"/>
  <c r="C14" i="9"/>
  <c r="A10" i="9" s="1"/>
  <c r="D19" i="9" s="1"/>
  <c r="C15" i="9"/>
  <c r="A19" i="9"/>
  <c r="L15" i="9"/>
  <c r="L14" i="9"/>
  <c r="H16" i="9"/>
  <c r="H15" i="9"/>
  <c r="H14" i="9"/>
  <c r="B6" i="7"/>
  <c r="B5" i="7"/>
  <c r="B4" i="7"/>
  <c r="B3" i="7"/>
  <c r="D23" i="16" l="1"/>
  <c r="C23" i="16"/>
  <c r="B23" i="16"/>
  <c r="B13" i="16"/>
  <c r="E18" i="16"/>
  <c r="D18" i="16"/>
  <c r="H10" i="9"/>
  <c r="J19" i="9" s="1"/>
  <c r="D10" i="9"/>
  <c r="G19" i="9" s="1"/>
  <c r="E32" i="6"/>
  <c r="F32" i="6" s="1"/>
  <c r="G32" i="6" s="1"/>
  <c r="E33" i="6"/>
  <c r="F33" i="6" s="1"/>
  <c r="G33" i="6" s="1"/>
  <c r="E34" i="6"/>
  <c r="F34" i="6" s="1"/>
  <c r="G34" i="6" s="1"/>
  <c r="E35" i="6"/>
  <c r="F35" i="6" s="1"/>
  <c r="G35" i="6" s="1"/>
  <c r="E36" i="6"/>
  <c r="F36" i="6" s="1"/>
  <c r="G36" i="6" s="1"/>
  <c r="E31" i="6"/>
  <c r="F31" i="6" s="1"/>
  <c r="G31" i="6" s="1"/>
  <c r="D32" i="6"/>
  <c r="D33" i="6"/>
  <c r="D34" i="6"/>
  <c r="D35" i="6"/>
  <c r="D36" i="6"/>
  <c r="D31" i="6"/>
  <c r="C20" i="6"/>
  <c r="C19" i="6"/>
  <c r="F8" i="6"/>
  <c r="E9" i="6"/>
  <c r="F9" i="6" s="1"/>
  <c r="E8" i="6"/>
  <c r="D23" i="5"/>
  <c r="E23" i="5" s="1"/>
  <c r="D24" i="5"/>
  <c r="E24" i="5" s="1"/>
  <c r="D25" i="5"/>
  <c r="E25" i="5" s="1"/>
  <c r="D26" i="5"/>
  <c r="E26" i="5" s="1"/>
  <c r="D22" i="5"/>
  <c r="E22" i="5" s="1"/>
  <c r="G5" i="5"/>
  <c r="G6" i="5"/>
  <c r="G7" i="5"/>
  <c r="G8" i="5"/>
  <c r="G9" i="5"/>
  <c r="G10" i="5"/>
  <c r="G4" i="5"/>
  <c r="F5" i="5"/>
  <c r="F6" i="5"/>
  <c r="F7" i="5"/>
  <c r="F8" i="5"/>
  <c r="F9" i="5"/>
  <c r="F4" i="5"/>
  <c r="E4" i="5"/>
  <c r="E5" i="5"/>
  <c r="E6" i="5"/>
  <c r="E7" i="5"/>
  <c r="E8" i="5"/>
  <c r="E9" i="5"/>
  <c r="E10" i="5"/>
  <c r="F10" i="5" s="1"/>
  <c r="E10" i="6" l="1"/>
  <c r="H56" i="4"/>
  <c r="H51" i="4"/>
  <c r="F56" i="4"/>
  <c r="F51" i="4"/>
  <c r="E52" i="4"/>
  <c r="H52" i="4" s="1"/>
  <c r="E53" i="4"/>
  <c r="H53" i="4" s="1"/>
  <c r="E54" i="4"/>
  <c r="H54" i="4" s="1"/>
  <c r="E55" i="4"/>
  <c r="H55" i="4" s="1"/>
  <c r="E56" i="4"/>
  <c r="E57" i="4"/>
  <c r="H57" i="4" s="1"/>
  <c r="E58" i="4"/>
  <c r="H58" i="4" s="1"/>
  <c r="E59" i="4"/>
  <c r="H59" i="4" s="1"/>
  <c r="H60" i="4" s="1"/>
  <c r="E51" i="4"/>
  <c r="C60" i="4"/>
  <c r="D60" i="4"/>
  <c r="B60" i="4"/>
  <c r="C46" i="4"/>
  <c r="C45" i="4"/>
  <c r="C44" i="4"/>
  <c r="B47" i="4"/>
  <c r="B46" i="4"/>
  <c r="E46" i="4" s="1"/>
  <c r="F46" i="4" s="1"/>
  <c r="G46" i="4" s="1"/>
  <c r="B45" i="4"/>
  <c r="E45" i="4" s="1"/>
  <c r="F45" i="4" s="1"/>
  <c r="G45" i="4" s="1"/>
  <c r="B44" i="4"/>
  <c r="E44" i="4" s="1"/>
  <c r="F44" i="4" s="1"/>
  <c r="G44" i="4" s="1"/>
  <c r="A47" i="4"/>
  <c r="A45" i="4"/>
  <c r="A46" i="4"/>
  <c r="A44" i="4"/>
  <c r="C47" i="4" s="1"/>
  <c r="E11" i="6" l="1"/>
  <c r="F10" i="6"/>
  <c r="E60" i="4"/>
  <c r="F58" i="4"/>
  <c r="F54" i="4"/>
  <c r="F59" i="4"/>
  <c r="F57" i="4"/>
  <c r="F55" i="4"/>
  <c r="F53" i="4"/>
  <c r="F52" i="4"/>
  <c r="E47" i="4"/>
  <c r="F47" i="4" s="1"/>
  <c r="G47" i="4" s="1"/>
  <c r="D44" i="4"/>
  <c r="D46" i="4"/>
  <c r="D47" i="4"/>
  <c r="D45" i="4"/>
  <c r="C31" i="4"/>
  <c r="C30" i="4"/>
  <c r="C28" i="4"/>
  <c r="C27" i="4"/>
  <c r="B19" i="4"/>
  <c r="D6" i="4"/>
  <c r="D4" i="4"/>
  <c r="D2" i="4"/>
  <c r="G10" i="3"/>
  <c r="G11" i="3"/>
  <c r="G9" i="3"/>
  <c r="G12" i="3" s="1"/>
  <c r="E10" i="3"/>
  <c r="E11" i="3"/>
  <c r="E9" i="3"/>
  <c r="C10" i="3"/>
  <c r="F10" i="3" s="1"/>
  <c r="H10" i="3" s="1"/>
  <c r="C11" i="3"/>
  <c r="F11" i="3" s="1"/>
  <c r="H11" i="3" s="1"/>
  <c r="C9" i="3"/>
  <c r="F9" i="3" s="1"/>
  <c r="B10" i="3"/>
  <c r="B11" i="3"/>
  <c r="B9" i="3"/>
  <c r="B6" i="3"/>
  <c r="B5" i="3"/>
  <c r="B4" i="3"/>
  <c r="E3" i="3"/>
  <c r="H15" i="2"/>
  <c r="G15" i="2"/>
  <c r="E15" i="2"/>
  <c r="J15" i="2" s="1"/>
  <c r="D15" i="2"/>
  <c r="C15" i="2"/>
  <c r="B15" i="2"/>
  <c r="D3" i="1"/>
  <c r="D4" i="1"/>
  <c r="D5" i="1"/>
  <c r="D6" i="1"/>
  <c r="D2" i="1"/>
  <c r="C3" i="1"/>
  <c r="C4" i="1"/>
  <c r="C5" i="1"/>
  <c r="C6" i="1"/>
  <c r="F11" i="6" l="1"/>
  <c r="E12" i="6"/>
  <c r="C63" i="4"/>
  <c r="C62" i="4"/>
  <c r="C64" i="4"/>
  <c r="H9" i="3"/>
  <c r="H12" i="3" s="1"/>
  <c r="F12" i="3"/>
  <c r="E6" i="1"/>
  <c r="F6" i="1" s="1"/>
  <c r="E4" i="1"/>
  <c r="F4" i="1" s="1"/>
  <c r="E2" i="1"/>
  <c r="F2" i="1" s="1"/>
  <c r="E5" i="1"/>
  <c r="F5" i="1" s="1"/>
  <c r="E3" i="1"/>
  <c r="F3" i="1" s="1"/>
  <c r="E13" i="6" l="1"/>
  <c r="F12" i="6"/>
  <c r="E14" i="6" l="1"/>
  <c r="F13" i="6"/>
  <c r="E15" i="6" l="1"/>
  <c r="F14" i="6"/>
  <c r="E16" i="6" l="1"/>
  <c r="F15" i="6"/>
  <c r="E17" i="6" l="1"/>
  <c r="F17" i="6" s="1"/>
  <c r="F16" i="6"/>
</calcChain>
</file>

<file path=xl/comments1.xml><?xml version="1.0" encoding="utf-8"?>
<comments xmlns="http://schemas.openxmlformats.org/spreadsheetml/2006/main">
  <authors>
    <author>Luciano</author>
  </authors>
  <commentList>
    <comment ref="B19" authorId="0" shapeId="0">
      <text>
        <r>
          <rPr>
            <b/>
            <sz val="9"/>
            <color indexed="81"/>
            <rFont val="Segoe UI"/>
            <family val="2"/>
          </rPr>
          <t>Nesse caso não é necessário obter os produtos.</t>
        </r>
      </text>
    </comment>
    <comment ref="E51" authorId="0" shapeId="0">
      <text>
        <r>
          <rPr>
            <b/>
            <sz val="9"/>
            <color indexed="81"/>
            <rFont val="Segoe UI"/>
            <family val="2"/>
          </rPr>
          <t>Foi usado fórmula minimo</t>
        </r>
      </text>
    </comment>
  </commentList>
</comments>
</file>

<file path=xl/comments2.xml><?xml version="1.0" encoding="utf-8"?>
<comments xmlns="http://schemas.openxmlformats.org/spreadsheetml/2006/main">
  <authors>
    <author>Luciano</author>
  </authors>
  <commentList>
    <comment ref="D22" authorId="0" shapeId="0">
      <text>
        <r>
          <rPr>
            <b/>
            <sz val="9"/>
            <color indexed="81"/>
            <rFont val="Segoe UI"/>
            <family val="2"/>
          </rPr>
          <t>Usada Procv para localizar a % das vendas de cada vendedor.</t>
        </r>
      </text>
    </comment>
  </commentList>
</comments>
</file>

<file path=xl/comments3.xml><?xml version="1.0" encoding="utf-8"?>
<comments xmlns="http://schemas.openxmlformats.org/spreadsheetml/2006/main">
  <authors>
    <author>Luciano</author>
  </authors>
  <commentList>
    <comment ref="F8" authorId="0" shapeId="0">
      <text>
        <r>
          <rPr>
            <b/>
            <sz val="9"/>
            <color indexed="81"/>
            <rFont val="Segoe UI"/>
            <family val="2"/>
          </rPr>
          <t>É necessário ter três condições dentro da SE.</t>
        </r>
      </text>
    </comment>
    <comment ref="C19" authorId="0" shapeId="0">
      <text>
        <r>
          <rPr>
            <b/>
            <sz val="9"/>
            <color indexed="81"/>
            <rFont val="Segoe UI"/>
            <family val="2"/>
          </rPr>
          <t>Realizado a soma de todos os Créditos.</t>
        </r>
      </text>
    </comment>
  </commentList>
</comments>
</file>

<file path=xl/comments4.xml><?xml version="1.0" encoding="utf-8"?>
<comments xmlns="http://schemas.openxmlformats.org/spreadsheetml/2006/main">
  <authors>
    <author>Luciano</author>
  </authors>
  <commentList>
    <comment ref="E20" authorId="0" shapeId="0">
      <text>
        <r>
          <rPr>
            <b/>
            <sz val="9"/>
            <color indexed="81"/>
            <rFont val="Segoe UI"/>
            <family val="2"/>
          </rPr>
          <t>Localização da Fórmula.</t>
        </r>
      </text>
    </comment>
  </commentList>
</comments>
</file>

<file path=xl/comments5.xml><?xml version="1.0" encoding="utf-8"?>
<comments xmlns="http://schemas.openxmlformats.org/spreadsheetml/2006/main">
  <authors>
    <author>Luciano</author>
  </authors>
  <commentList>
    <comment ref="A23" authorId="0" shapeId="0">
      <text>
        <r>
          <rPr>
            <b/>
            <sz val="9"/>
            <color indexed="81"/>
            <rFont val="Segoe UI"/>
            <family val="2"/>
          </rPr>
          <t>Esse valor segue a lógica de array.</t>
        </r>
      </text>
    </comment>
  </commentList>
</comments>
</file>

<file path=xl/comments6.xml><?xml version="1.0" encoding="utf-8"?>
<comments xmlns="http://schemas.openxmlformats.org/spreadsheetml/2006/main">
  <authors>
    <author>Helena</author>
  </authors>
  <commentList>
    <comment ref="F20" authorId="0" shapeId="0">
      <text>
        <r>
          <rPr>
            <b/>
            <sz val="9"/>
            <color indexed="81"/>
            <rFont val="Segoe UI"/>
            <family val="2"/>
          </rPr>
          <t>A Função Matricial não permite excluir dados.</t>
        </r>
      </text>
    </comment>
    <comment ref="C29" authorId="0" shapeId="0">
      <text>
        <r>
          <rPr>
            <b/>
            <sz val="9"/>
            <color indexed="81"/>
            <rFont val="Segoe UI"/>
            <family val="2"/>
          </rPr>
          <t>Para realizar este cálculo, é necessário pressionar Ctrl + Shift + Enter, por se tratar de uma Matriz.
A Tecla F9 mostra a base de dados na qual foi inserida.</t>
        </r>
      </text>
    </comment>
  </commentList>
</comments>
</file>

<file path=xl/comments7.xml><?xml version="1.0" encoding="utf-8"?>
<comments xmlns="http://schemas.openxmlformats.org/spreadsheetml/2006/main">
  <authors>
    <author>Helena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Situação real da saúde financeira da empresa.</t>
        </r>
      </text>
    </comment>
  </commentList>
</comments>
</file>

<file path=xl/sharedStrings.xml><?xml version="1.0" encoding="utf-8"?>
<sst xmlns="http://schemas.openxmlformats.org/spreadsheetml/2006/main" count="803" uniqueCount="515">
  <si>
    <t>CLASSE</t>
  </si>
  <si>
    <t>ALUNOS</t>
  </si>
  <si>
    <t>NOTA DA PROVA</t>
  </si>
  <si>
    <t>NOTA DO TRABALHO</t>
  </si>
  <si>
    <t>MÉDIA</t>
  </si>
  <si>
    <t>SITUAÇÃO</t>
  </si>
  <si>
    <t>PROVA</t>
  </si>
  <si>
    <t>NOTAS</t>
  </si>
  <si>
    <t>A</t>
  </si>
  <si>
    <t>B</t>
  </si>
  <si>
    <t>C</t>
  </si>
  <si>
    <t>D</t>
  </si>
  <si>
    <t>E</t>
  </si>
  <si>
    <t>FRED</t>
  </si>
  <si>
    <t>CARLOS</t>
  </si>
  <si>
    <t>PEDRO</t>
  </si>
  <si>
    <t>SANDRA</t>
  </si>
  <si>
    <t>PAULA</t>
  </si>
  <si>
    <t>TRABALHO</t>
  </si>
  <si>
    <t>NOTA</t>
  </si>
  <si>
    <t>MCLANCHE FELIZ</t>
  </si>
  <si>
    <t>LANCHES</t>
  </si>
  <si>
    <t>NÚMERO</t>
  </si>
  <si>
    <t>ACOMPANHAMENTO</t>
  </si>
  <si>
    <t>VALOR TOTAL</t>
  </si>
  <si>
    <t>Big Mac</t>
  </si>
  <si>
    <t>Big Tasty</t>
  </si>
  <si>
    <t>Quarteirão</t>
  </si>
  <si>
    <t>Cheddar</t>
  </si>
  <si>
    <t>MC Fish</t>
  </si>
  <si>
    <t>Macnifico Bacon</t>
  </si>
  <si>
    <t>Angus</t>
  </si>
  <si>
    <t>Mc Fritas + Refrigerante + Suco</t>
  </si>
  <si>
    <t>Mc Fritas + Refrigerante + Suco Peq e Sobremesa</t>
  </si>
  <si>
    <t>Mc Lanche Feliz</t>
  </si>
  <si>
    <t>Mc Nuggets + Refrigerante ou Suco</t>
  </si>
  <si>
    <t>SOBREMESAS</t>
  </si>
  <si>
    <t>Número</t>
  </si>
  <si>
    <t>Produto</t>
  </si>
  <si>
    <t>Valor</t>
  </si>
  <si>
    <t>Milkshake</t>
  </si>
  <si>
    <t>Sundae</t>
  </si>
  <si>
    <t>Mc Flury</t>
  </si>
  <si>
    <t>Casquinha</t>
  </si>
  <si>
    <t>TABELA DE PEDIDOS</t>
  </si>
  <si>
    <t>Nùmero</t>
  </si>
  <si>
    <t>Lanche</t>
  </si>
  <si>
    <t>Valor Individual</t>
  </si>
  <si>
    <t>VALOR INDIVIDUAL</t>
  </si>
  <si>
    <t>Acompanhamento</t>
  </si>
  <si>
    <t>Valor do Pedido</t>
  </si>
  <si>
    <t>Nº</t>
  </si>
  <si>
    <t>Valor Sobremesa</t>
  </si>
  <si>
    <t>Valor Total</t>
  </si>
  <si>
    <t>NOTA FISCAL</t>
  </si>
  <si>
    <t>Código do Cliente</t>
  </si>
  <si>
    <t>Razão Social</t>
  </si>
  <si>
    <t>Endereço</t>
  </si>
  <si>
    <t>Fone</t>
  </si>
  <si>
    <t>Cód. Produto</t>
  </si>
  <si>
    <t>Preço</t>
  </si>
  <si>
    <t>Qtde</t>
  </si>
  <si>
    <t>Unidade</t>
  </si>
  <si>
    <t>Total</t>
  </si>
  <si>
    <t>Ipi</t>
  </si>
  <si>
    <t>Valor do Ipi</t>
  </si>
  <si>
    <t>Omo</t>
  </si>
  <si>
    <t>Detergente</t>
  </si>
  <si>
    <t>Bombril</t>
  </si>
  <si>
    <t>Candida</t>
  </si>
  <si>
    <t>Sabão</t>
  </si>
  <si>
    <t>Sabonete</t>
  </si>
  <si>
    <t>Algodão</t>
  </si>
  <si>
    <t>Cotonete</t>
  </si>
  <si>
    <t>Kg</t>
  </si>
  <si>
    <t>L</t>
  </si>
  <si>
    <t>PCT</t>
  </si>
  <si>
    <t>Pç</t>
  </si>
  <si>
    <t>Código</t>
  </si>
  <si>
    <t>Nome</t>
  </si>
  <si>
    <t>Enderço</t>
  </si>
  <si>
    <t>Rafael</t>
  </si>
  <si>
    <t>tatiane</t>
  </si>
  <si>
    <t>Eduardo</t>
  </si>
  <si>
    <t>Fabiane</t>
  </si>
  <si>
    <t>Klaus</t>
  </si>
  <si>
    <t>Rodrigo</t>
  </si>
  <si>
    <t>Luciano</t>
  </si>
  <si>
    <t>Helena</t>
  </si>
  <si>
    <t>R. Amarela</t>
  </si>
  <si>
    <t>R. Vermelha</t>
  </si>
  <si>
    <t>R. Azul</t>
  </si>
  <si>
    <t>R. Verde</t>
  </si>
  <si>
    <t>R. Branca</t>
  </si>
  <si>
    <t>R. Rosa</t>
  </si>
  <si>
    <t>R. João</t>
  </si>
  <si>
    <t>(51) 3490-1186</t>
  </si>
  <si>
    <t>(51) 999792465</t>
  </si>
  <si>
    <t>(51) 3490-1187</t>
  </si>
  <si>
    <t>(51) 999792466</t>
  </si>
  <si>
    <t>(51) 3490-1188</t>
  </si>
  <si>
    <t>(51) 999792467</t>
  </si>
  <si>
    <t>(51) 3490-1189</t>
  </si>
  <si>
    <t>(51) 999792468</t>
  </si>
  <si>
    <t>Nota Fiscal:</t>
  </si>
  <si>
    <t>Data</t>
  </si>
  <si>
    <t>PRODUTO</t>
  </si>
  <si>
    <t>PREÇO</t>
  </si>
  <si>
    <t>Teclado</t>
  </si>
  <si>
    <t>Mouse</t>
  </si>
  <si>
    <t>Monitor</t>
  </si>
  <si>
    <t>Soma Total Teclado</t>
  </si>
  <si>
    <t>Soma Total Mouse</t>
  </si>
  <si>
    <t>Soma Total Monitor</t>
  </si>
  <si>
    <t>PRODUTOS</t>
  </si>
  <si>
    <t>PREÇOS</t>
  </si>
  <si>
    <t>MESA</t>
  </si>
  <si>
    <t>CADEIRA</t>
  </si>
  <si>
    <t>FAQUEIRO</t>
  </si>
  <si>
    <t>PC</t>
  </si>
  <si>
    <t>NOTEBOOK</t>
  </si>
  <si>
    <t>SOFÁ</t>
  </si>
  <si>
    <t>CAMA</t>
  </si>
  <si>
    <t>RESPOSTA</t>
  </si>
  <si>
    <t>GENEROS</t>
  </si>
  <si>
    <t>LUCRO TOTAL</t>
  </si>
  <si>
    <t>arroz</t>
  </si>
  <si>
    <t>Shampoo</t>
  </si>
  <si>
    <t>Tênis</t>
  </si>
  <si>
    <t>Açucar</t>
  </si>
  <si>
    <t>Alimenticio</t>
  </si>
  <si>
    <t>Higiene</t>
  </si>
  <si>
    <t>Vestuário</t>
  </si>
  <si>
    <t>Qt. Produtos Alimenticios</t>
  </si>
  <si>
    <t>Qt. Produtos Higiene</t>
  </si>
  <si>
    <t>Lucro Produtos Alimenticios</t>
  </si>
  <si>
    <t>Lucro Produtos Vestuário</t>
  </si>
  <si>
    <t>Vendedores</t>
  </si>
  <si>
    <t>Jan</t>
  </si>
  <si>
    <t>Fev</t>
  </si>
  <si>
    <t>Alfredo</t>
  </si>
  <si>
    <t>Solange</t>
  </si>
  <si>
    <t>Mathias</t>
  </si>
  <si>
    <t>Marcos</t>
  </si>
  <si>
    <t>Soma Total Jan</t>
  </si>
  <si>
    <t>Soma Total Fev</t>
  </si>
  <si>
    <t>Soma Jan/Fev</t>
  </si>
  <si>
    <t>Média Jan/Fev</t>
  </si>
  <si>
    <t>Situação</t>
  </si>
  <si>
    <t>O que fazer</t>
  </si>
  <si>
    <t>Produtos</t>
  </si>
  <si>
    <t>Carrefour</t>
  </si>
  <si>
    <t>Barateiro</t>
  </si>
  <si>
    <t>Extra</t>
  </si>
  <si>
    <t>Melhor Preço</t>
  </si>
  <si>
    <t>Comprar no</t>
  </si>
  <si>
    <t>Total Geral</t>
  </si>
  <si>
    <t>Tomate</t>
  </si>
  <si>
    <t>Macarrão</t>
  </si>
  <si>
    <t>Feijão</t>
  </si>
  <si>
    <t>Arroz</t>
  </si>
  <si>
    <t>Azeitona</t>
  </si>
  <si>
    <t>Óleo</t>
  </si>
  <si>
    <t>Farinha de Trigo</t>
  </si>
  <si>
    <t>Milho</t>
  </si>
  <si>
    <t>Ervilha</t>
  </si>
  <si>
    <t>TOTAL</t>
  </si>
  <si>
    <t>Soma Total Carefour</t>
  </si>
  <si>
    <t>Soma Total Barateiro</t>
  </si>
  <si>
    <t>Soma Total Extra</t>
  </si>
  <si>
    <t>SUPERMERCADOS RELAÇÃO DE COMPARAÇÃO</t>
  </si>
  <si>
    <t>TABELA INTERNACIONAL</t>
  </si>
  <si>
    <t>CÁLCULO DE ÍNDICE DE MASSA CORPOREA (IMC)</t>
  </si>
  <si>
    <t>NOME</t>
  </si>
  <si>
    <t>IDADE</t>
  </si>
  <si>
    <t>ALTURA</t>
  </si>
  <si>
    <t>PESO</t>
  </si>
  <si>
    <t>IMC</t>
  </si>
  <si>
    <t>RESULTADO</t>
  </si>
  <si>
    <t>REGIME (SIM/NÃO)</t>
  </si>
  <si>
    <t>Carlos</t>
  </si>
  <si>
    <t>Marta</t>
  </si>
  <si>
    <t>Roberto</t>
  </si>
  <si>
    <t>Cláudia</t>
  </si>
  <si>
    <t>Sandra</t>
  </si>
  <si>
    <t>Paloma</t>
  </si>
  <si>
    <t>Renata</t>
  </si>
  <si>
    <t>Muito Magro</t>
  </si>
  <si>
    <t>Normal</t>
  </si>
  <si>
    <t>Sobrepeso</t>
  </si>
  <si>
    <t>Obeso</t>
  </si>
  <si>
    <t>Obesidade Grave</t>
  </si>
  <si>
    <t>TABELA DE VENDAS</t>
  </si>
  <si>
    <t>Vendedor</t>
  </si>
  <si>
    <t>Cargo</t>
  </si>
  <si>
    <t>Vendas</t>
  </si>
  <si>
    <t>Comissão</t>
  </si>
  <si>
    <t>Anderson</t>
  </si>
  <si>
    <t>João</t>
  </si>
  <si>
    <t>Pedro</t>
  </si>
  <si>
    <t>VENDEDOR B</t>
  </si>
  <si>
    <t>TAXA</t>
  </si>
  <si>
    <t>VENDEDOR A</t>
  </si>
  <si>
    <t>CONTROLE BANCÁRIO</t>
  </si>
  <si>
    <t>DATA</t>
  </si>
  <si>
    <t>DESCRIÇÃO</t>
  </si>
  <si>
    <t>TIPO</t>
  </si>
  <si>
    <t>VALOR</t>
  </si>
  <si>
    <t>SALDO</t>
  </si>
  <si>
    <t>Valores p/ Saldo</t>
  </si>
  <si>
    <t>Mínimo</t>
  </si>
  <si>
    <t>Máximo</t>
  </si>
  <si>
    <t>Saldo Anterior</t>
  </si>
  <si>
    <t>Cheque N 135123</t>
  </si>
  <si>
    <t>Depósito</t>
  </si>
  <si>
    <t>Cheque</t>
  </si>
  <si>
    <t>Saque Recebido</t>
  </si>
  <si>
    <t>Total de Créditos</t>
  </si>
  <si>
    <t>Total de Débitos</t>
  </si>
  <si>
    <t>TABELA DE DESCONTOS DE VT</t>
  </si>
  <si>
    <t>Cidade</t>
  </si>
  <si>
    <t>Cosmopólis</t>
  </si>
  <si>
    <t>Santa Gertrudes</t>
  </si>
  <si>
    <t>Americana</t>
  </si>
  <si>
    <t>Campinas</t>
  </si>
  <si>
    <t>São Paulo</t>
  </si>
  <si>
    <t>CONTROLE DE DESCONTOS DE VT NOS VENDEDORES</t>
  </si>
  <si>
    <t>Porcentagem</t>
  </si>
  <si>
    <t>Viagens</t>
  </si>
  <si>
    <t>Destino</t>
  </si>
  <si>
    <t>Valor Unitário</t>
  </si>
  <si>
    <t>A Descontar</t>
  </si>
  <si>
    <t>José</t>
  </si>
  <si>
    <t>Juca</t>
  </si>
  <si>
    <t>Lauro</t>
  </si>
  <si>
    <t>Mauro</t>
  </si>
  <si>
    <t>Cód. Cidade</t>
  </si>
  <si>
    <t>TABELA DE CONSULTA</t>
  </si>
  <si>
    <t>SEXO</t>
  </si>
  <si>
    <t>PROFISSÃO</t>
  </si>
  <si>
    <t>TELEFONE</t>
  </si>
  <si>
    <t>Sara</t>
  </si>
  <si>
    <t>Paulo</t>
  </si>
  <si>
    <t>Fátima</t>
  </si>
  <si>
    <t>Analista de Sistemas</t>
  </si>
  <si>
    <t>Balconista</t>
  </si>
  <si>
    <t>Desenvolvedor Web</t>
  </si>
  <si>
    <t>Pedreiro</t>
  </si>
  <si>
    <t>Secretária</t>
  </si>
  <si>
    <t>M</t>
  </si>
  <si>
    <t>F</t>
  </si>
  <si>
    <t>5454-5454</t>
  </si>
  <si>
    <t>6565-6565</t>
  </si>
  <si>
    <t>4545-4545</t>
  </si>
  <si>
    <t>8484-8484</t>
  </si>
  <si>
    <t>3232-3232</t>
  </si>
  <si>
    <t>** Esta tabela depende da tabela CAIXA DE COMBINAÇÃO_MATRIX</t>
  </si>
  <si>
    <t>Nome do Aluno</t>
  </si>
  <si>
    <t>Planilha do Aluno</t>
  </si>
  <si>
    <t>Curso</t>
  </si>
  <si>
    <t>Período</t>
  </si>
  <si>
    <t>Forma de Pagto</t>
  </si>
  <si>
    <t>Ativar Curso</t>
  </si>
  <si>
    <t>Ativar Período</t>
  </si>
  <si>
    <t>Ativar Pgto</t>
  </si>
  <si>
    <t>Informática</t>
  </si>
  <si>
    <t>Web Desgin</t>
  </si>
  <si>
    <t>Hardware</t>
  </si>
  <si>
    <t>Tarde</t>
  </si>
  <si>
    <t>Noite</t>
  </si>
  <si>
    <t>À Vista</t>
  </si>
  <si>
    <t>Parcelado</t>
  </si>
  <si>
    <t>Forma de Pgto</t>
  </si>
  <si>
    <t>LUCIANO LEAL RODRIGUES</t>
  </si>
  <si>
    <t>Manhã</t>
  </si>
  <si>
    <t xml:space="preserve">Informática  </t>
  </si>
  <si>
    <t>RONALDO SANTOS</t>
  </si>
  <si>
    <t xml:space="preserve"> Tarde </t>
  </si>
  <si>
    <t xml:space="preserve">À Vista </t>
  </si>
  <si>
    <t>JURANDIR DA SILVA</t>
  </si>
  <si>
    <t>HELENA CONSTANTE RODRIGUES</t>
  </si>
  <si>
    <t>ARTHUR CONSTANTE JUNGBLUT</t>
  </si>
  <si>
    <t>LUCIANO LEAL</t>
  </si>
  <si>
    <t>JOCELAINE GRASSI CONSTANTE</t>
  </si>
  <si>
    <t>idade</t>
  </si>
  <si>
    <t>Departamento</t>
  </si>
  <si>
    <t>Salário</t>
  </si>
  <si>
    <t>Telefone</t>
  </si>
  <si>
    <t>Alberto da Silva</t>
  </si>
  <si>
    <t>Antonio dos Santos</t>
  </si>
  <si>
    <t>Fabiana Rossi</t>
  </si>
  <si>
    <t>Horácio Almeida</t>
  </si>
  <si>
    <t>João Pereira</t>
  </si>
  <si>
    <t>Adminstração</t>
  </si>
  <si>
    <t>Recursos Humanos</t>
  </si>
  <si>
    <t>Diretoria</t>
  </si>
  <si>
    <t>555-1902</t>
  </si>
  <si>
    <t>555-1117</t>
  </si>
  <si>
    <t>555-8929</t>
  </si>
  <si>
    <t>555-714</t>
  </si>
  <si>
    <t>555-231</t>
  </si>
  <si>
    <t>555-1524</t>
  </si>
  <si>
    <t>Fabiana</t>
  </si>
  <si>
    <t>Fabiana Rossi Luz</t>
  </si>
  <si>
    <t>Idade</t>
  </si>
  <si>
    <t xml:space="preserve">Altura (cm) </t>
  </si>
  <si>
    <t>Peso (kg)</t>
  </si>
  <si>
    <t>James</t>
  </si>
  <si>
    <t>Marcio</t>
  </si>
  <si>
    <t>Adriano</t>
  </si>
  <si>
    <t>Janaina</t>
  </si>
  <si>
    <t>Carla</t>
  </si>
  <si>
    <t>Sonia</t>
  </si>
  <si>
    <t>&lt;100</t>
  </si>
  <si>
    <t>UF</t>
  </si>
  <si>
    <t>Jocelaine</t>
  </si>
  <si>
    <t>Heloisa</t>
  </si>
  <si>
    <t>Arthur</t>
  </si>
  <si>
    <t>RS</t>
  </si>
  <si>
    <t>RJ</t>
  </si>
  <si>
    <t>SP</t>
  </si>
  <si>
    <t>AM</t>
  </si>
  <si>
    <t>am</t>
  </si>
  <si>
    <t>CLIENTES</t>
  </si>
  <si>
    <t>Empresa A</t>
  </si>
  <si>
    <t>Empresa B</t>
  </si>
  <si>
    <t>Empresa C</t>
  </si>
  <si>
    <t>CPU</t>
  </si>
  <si>
    <t>Ram</t>
  </si>
  <si>
    <t>Gabinete</t>
  </si>
  <si>
    <t>Placa de Vídeo</t>
  </si>
  <si>
    <t>Fonte</t>
  </si>
  <si>
    <t>Resposta:</t>
  </si>
  <si>
    <t>teclado</t>
  </si>
  <si>
    <t>Profissão</t>
  </si>
  <si>
    <t>Cláudio Soares</t>
  </si>
  <si>
    <t>Marta Fernandes</t>
  </si>
  <si>
    <t>Cátia Alencar</t>
  </si>
  <si>
    <t>Ronaldo Souza</t>
  </si>
  <si>
    <t>Fátima Xavier</t>
  </si>
  <si>
    <t>José Silva</t>
  </si>
  <si>
    <t>Analista</t>
  </si>
  <si>
    <t>Professora</t>
  </si>
  <si>
    <t>Gerente</t>
  </si>
  <si>
    <t>Bancário</t>
  </si>
  <si>
    <t>Consulta de Dados</t>
  </si>
  <si>
    <t>Valor Compra</t>
  </si>
  <si>
    <t>Valor Venda</t>
  </si>
  <si>
    <t>Diferença</t>
  </si>
  <si>
    <t>%</t>
  </si>
  <si>
    <t>Cpu</t>
  </si>
  <si>
    <t>Fonte Atx</t>
  </si>
  <si>
    <t>HD</t>
  </si>
  <si>
    <t>SSD</t>
  </si>
  <si>
    <t>Loja</t>
  </si>
  <si>
    <t>Camisa</t>
  </si>
  <si>
    <t>Bermuda</t>
  </si>
  <si>
    <t>Calça</t>
  </si>
  <si>
    <t>Short</t>
  </si>
  <si>
    <t>FUNÇÕES DATA E HORA</t>
  </si>
  <si>
    <t>DATA DE HOJE</t>
  </si>
  <si>
    <t>DATA E HORA</t>
  </si>
  <si>
    <t>EXTRAIR DIA</t>
  </si>
  <si>
    <t>EXTRAIR MÊS</t>
  </si>
  <si>
    <t>EXTRAIR ANO</t>
  </si>
  <si>
    <t>DATA ANIVERSÁRIO</t>
  </si>
  <si>
    <t>DESCOBRIR O NUMERO DE SÉRIE DA SEMANA</t>
  </si>
  <si>
    <t>EXTRAIR MINUTO</t>
  </si>
  <si>
    <t>EXTRAIR SEGUNDO</t>
  </si>
  <si>
    <t>DESCOBRIR EM QUE DIA VOCÊ NASCEU</t>
  </si>
  <si>
    <t>DIA DA SEMANA COM FUNÇÃO SE</t>
  </si>
  <si>
    <t>QTDE DE VENDAS</t>
  </si>
  <si>
    <t>CARROS</t>
  </si>
  <si>
    <t>JANEIRO</t>
  </si>
  <si>
    <t>FEVEREIRO</t>
  </si>
  <si>
    <t>MARÇO</t>
  </si>
  <si>
    <t>Sandeiro</t>
  </si>
  <si>
    <t>Vectra</t>
  </si>
  <si>
    <t>Sentra</t>
  </si>
  <si>
    <t>Siena</t>
  </si>
  <si>
    <t>Cruize</t>
  </si>
  <si>
    <t>Onix</t>
  </si>
  <si>
    <t>FINAL</t>
  </si>
  <si>
    <t>CÓDIGO</t>
  </si>
  <si>
    <t>VALOR COMPRA</t>
  </si>
  <si>
    <t>LUCRO</t>
  </si>
  <si>
    <t>VALOR VENDA</t>
  </si>
  <si>
    <t>Notebook</t>
  </si>
  <si>
    <t>Ultrabook</t>
  </si>
  <si>
    <t>Netbook</t>
  </si>
  <si>
    <t>Desktop</t>
  </si>
  <si>
    <t>Macrobook</t>
  </si>
  <si>
    <t>All in One</t>
  </si>
  <si>
    <t>LINHA</t>
  </si>
  <si>
    <t>TÍTULO</t>
  </si>
  <si>
    <t>COLUNA</t>
  </si>
  <si>
    <t>valor venda</t>
  </si>
  <si>
    <t>FUNÇÃO CORRESP COM PROCV</t>
  </si>
  <si>
    <t>CONFIGURAÇÃO 1</t>
  </si>
  <si>
    <t>CONFIGURAÇÃO2</t>
  </si>
  <si>
    <t>CONFIGURAÇÃO 3</t>
  </si>
  <si>
    <t>CONSULTAR:</t>
  </si>
  <si>
    <t>CONFIGURAÇÃO</t>
  </si>
  <si>
    <t>Computador</t>
  </si>
  <si>
    <t>Na fórmula Corresp, marcamos os titulos na matriz desejada.</t>
  </si>
  <si>
    <t>Clientes</t>
  </si>
  <si>
    <t>sara</t>
  </si>
  <si>
    <t>Cliente</t>
  </si>
  <si>
    <t>Replicar CTrl + Enter</t>
  </si>
  <si>
    <t>Transformar em Matriz Ctrl + Shift + Enter</t>
  </si>
  <si>
    <t>Verdadeiro = 1</t>
  </si>
  <si>
    <t>Falso = 0</t>
  </si>
  <si>
    <t>USANDO FUNÇÃO MATRIZ</t>
  </si>
  <si>
    <t>Cópia Comum</t>
  </si>
  <si>
    <t>Cópia com Matriz</t>
  </si>
  <si>
    <t>Soma</t>
  </si>
  <si>
    <t>Soma Matricial:</t>
  </si>
  <si>
    <t>EXEMPLO DE MATRIZ COM SEERRO</t>
  </si>
  <si>
    <t>André</t>
  </si>
  <si>
    <t>Venda</t>
  </si>
  <si>
    <t>Segmento</t>
  </si>
  <si>
    <t>Mês</t>
  </si>
  <si>
    <t>Marcenaria</t>
  </si>
  <si>
    <t>Alimentícios</t>
  </si>
  <si>
    <t>Construção</t>
  </si>
  <si>
    <t>Janeiro</t>
  </si>
  <si>
    <t>Fevereiro</t>
  </si>
  <si>
    <t>Março</t>
  </si>
  <si>
    <t>Valor Máximo</t>
  </si>
  <si>
    <t>Valor Mínimo</t>
  </si>
  <si>
    <t>Valor Final</t>
  </si>
  <si>
    <t>Caderno</t>
  </si>
  <si>
    <t>Caneta</t>
  </si>
  <si>
    <t>Sulfite</t>
  </si>
  <si>
    <t>RAM</t>
  </si>
  <si>
    <t>Régua</t>
  </si>
  <si>
    <t>Alicate</t>
  </si>
  <si>
    <t>Geladeira</t>
  </si>
  <si>
    <t>Fogão</t>
  </si>
  <si>
    <t>Disponível</t>
  </si>
  <si>
    <t>Esta opção permite adequar valores ou qtdes para caber exatamente no valor disponivel.</t>
  </si>
  <si>
    <t>Itens</t>
  </si>
  <si>
    <t>Celular</t>
  </si>
  <si>
    <t>cama</t>
  </si>
  <si>
    <t>fogão</t>
  </si>
  <si>
    <t>mesa</t>
  </si>
  <si>
    <t>Setor</t>
  </si>
  <si>
    <t>Fred</t>
  </si>
  <si>
    <t>Sônia</t>
  </si>
  <si>
    <t>Sandro</t>
  </si>
  <si>
    <t>Maria</t>
  </si>
  <si>
    <t>Alberto</t>
  </si>
  <si>
    <t>Cobrança</t>
  </si>
  <si>
    <t>Escritório</t>
  </si>
  <si>
    <t>Atendimento</t>
  </si>
  <si>
    <t>Financeiro</t>
  </si>
  <si>
    <t>Operação</t>
  </si>
  <si>
    <t>RH</t>
  </si>
  <si>
    <t>Custo Salarial:</t>
  </si>
  <si>
    <t>É importante que a tabela tenha titulos.</t>
  </si>
  <si>
    <t>Rótulos de Linha</t>
  </si>
  <si>
    <t>Soma de Salário</t>
  </si>
  <si>
    <t>Nº de pessoas</t>
  </si>
  <si>
    <t>Média de Salário2</t>
  </si>
  <si>
    <t>FOLHA DE PAGAMENTO</t>
  </si>
  <si>
    <t>DESCONTOS</t>
  </si>
  <si>
    <t>Funcionários</t>
  </si>
  <si>
    <t>Salário Bruto</t>
  </si>
  <si>
    <t>INSS</t>
  </si>
  <si>
    <t>V.T.</t>
  </si>
  <si>
    <t>Vale</t>
  </si>
  <si>
    <t>Nº de Pessoas com Plano</t>
  </si>
  <si>
    <t>Plano de Saúde</t>
  </si>
  <si>
    <t>Atrasos / Falta</t>
  </si>
  <si>
    <t>Valor Hora Trabalhada</t>
  </si>
  <si>
    <t>Hora Extra</t>
  </si>
  <si>
    <t>Nº Filhos</t>
  </si>
  <si>
    <t>Salário Fam.</t>
  </si>
  <si>
    <t>Nº Horas Extras</t>
  </si>
  <si>
    <t>Acréscimos</t>
  </si>
  <si>
    <t>Luis</t>
  </si>
  <si>
    <t>Descontos</t>
  </si>
  <si>
    <t>Inss</t>
  </si>
  <si>
    <t>V. Transporte</t>
  </si>
  <si>
    <t>Sal. Familia</t>
  </si>
  <si>
    <t>FGTS</t>
  </si>
  <si>
    <t>IRRF</t>
  </si>
  <si>
    <t>Bônus</t>
  </si>
  <si>
    <t>Funcionário</t>
  </si>
  <si>
    <t>Jonas</t>
  </si>
  <si>
    <t>Samuel</t>
  </si>
  <si>
    <t>Orlando</t>
  </si>
  <si>
    <t>Janete</t>
  </si>
  <si>
    <t>Manutenção</t>
  </si>
  <si>
    <t>Operador</t>
  </si>
  <si>
    <t>Técnica</t>
  </si>
  <si>
    <t>Supervisora</t>
  </si>
  <si>
    <t>Atendente</t>
  </si>
  <si>
    <t>Manobrista</t>
  </si>
  <si>
    <t>Descrição</t>
  </si>
  <si>
    <t>Total de Entradas</t>
  </si>
  <si>
    <t>CONTROLE DE FLUXO DE CAIXA</t>
  </si>
  <si>
    <t>Valor R$</t>
  </si>
  <si>
    <t>Caixa Inicial</t>
  </si>
  <si>
    <t>Total Diário</t>
  </si>
  <si>
    <t>Total Final</t>
  </si>
  <si>
    <t>RELATÓRIO DE ENTRADAS</t>
  </si>
  <si>
    <t>HISTÓRICO DE SAIDAS DE VALORES</t>
  </si>
  <si>
    <t>Total das Saídas</t>
  </si>
  <si>
    <t>Situação do Caixa</t>
  </si>
  <si>
    <t>venda</t>
  </si>
  <si>
    <t>saidas</t>
  </si>
  <si>
    <t>Entradas</t>
  </si>
  <si>
    <t>combustível</t>
  </si>
  <si>
    <t>tele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</si>
</sst>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0.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b/>
      <i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45">
        <stop position="0">
          <color theme="5" tint="0.40000610370189521"/>
        </stop>
        <stop position="0.5">
          <color theme="7" tint="0.59999389629810485"/>
        </stop>
        <stop position="1">
          <color theme="5" tint="0.40000610370189521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0" borderId="0" xfId="0" applyFill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44" fontId="0" fillId="0" borderId="1" xfId="0" applyNumberForma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/>
    </xf>
    <xf numFmtId="9" fontId="0" fillId="0" borderId="1" xfId="2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4" fontId="0" fillId="0" borderId="1" xfId="1" applyFont="1" applyBorder="1"/>
    <xf numFmtId="44" fontId="0" fillId="0" borderId="1" xfId="0" applyNumberFormat="1" applyBorder="1"/>
    <xf numFmtId="9" fontId="0" fillId="0" borderId="1" xfId="2" applyFont="1" applyBorder="1"/>
    <xf numFmtId="22" fontId="0" fillId="0" borderId="1" xfId="0" applyNumberFormat="1" applyBorder="1"/>
    <xf numFmtId="0" fontId="0" fillId="3" borderId="1" xfId="0" applyFill="1" applyBorder="1"/>
    <xf numFmtId="0" fontId="3" fillId="3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3" fillId="7" borderId="1" xfId="0" applyFont="1" applyFill="1" applyBorder="1" applyAlignment="1">
      <alignment horizontal="center" vertical="center"/>
    </xf>
    <xf numFmtId="0" fontId="3" fillId="0" borderId="0" xfId="0" applyFont="1"/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/>
    <xf numFmtId="0" fontId="3" fillId="7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0" borderId="1" xfId="0" applyFont="1" applyFill="1" applyBorder="1"/>
    <xf numFmtId="44" fontId="3" fillId="10" borderId="1" xfId="1" applyFont="1" applyFill="1" applyBorder="1"/>
    <xf numFmtId="0" fontId="3" fillId="4" borderId="1" xfId="0" applyFont="1" applyFill="1" applyBorder="1"/>
    <xf numFmtId="44" fontId="3" fillId="4" borderId="1" xfId="1" applyFont="1" applyFill="1" applyBorder="1"/>
    <xf numFmtId="0" fontId="3" fillId="12" borderId="1" xfId="0" applyFont="1" applyFill="1" applyBorder="1" applyAlignment="1">
      <alignment horizontal="center" vertical="center"/>
    </xf>
    <xf numFmtId="44" fontId="3" fillId="0" borderId="1" xfId="0" applyNumberFormat="1" applyFont="1" applyBorder="1"/>
    <xf numFmtId="0" fontId="2" fillId="14" borderId="1" xfId="0" applyFont="1" applyFill="1" applyBorder="1" applyAlignment="1">
      <alignment horizontal="center" vertical="center"/>
    </xf>
    <xf numFmtId="44" fontId="6" fillId="14" borderId="1" xfId="0" applyNumberFormat="1" applyFont="1" applyFill="1" applyBorder="1"/>
    <xf numFmtId="44" fontId="6" fillId="15" borderId="1" xfId="0" applyNumberFormat="1" applyFont="1" applyFill="1" applyBorder="1"/>
    <xf numFmtId="44" fontId="3" fillId="13" borderId="1" xfId="1" applyFont="1" applyFill="1" applyBorder="1"/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3" fillId="18" borderId="1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 wrapText="1"/>
    </xf>
    <xf numFmtId="2" fontId="3" fillId="2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9" fontId="0" fillId="0" borderId="1" xfId="2" applyNumberFormat="1" applyFont="1" applyBorder="1"/>
    <xf numFmtId="10" fontId="0" fillId="0" borderId="1" xfId="2" applyNumberFormat="1" applyFont="1" applyBorder="1"/>
    <xf numFmtId="0" fontId="3" fillId="21" borderId="1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/>
    </xf>
    <xf numFmtId="10" fontId="0" fillId="0" borderId="1" xfId="2" applyNumberFormat="1" applyFont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7" fillId="16" borderId="1" xfId="0" applyFont="1" applyFill="1" applyBorder="1" applyAlignment="1">
      <alignment horizontal="center" vertical="center"/>
    </xf>
    <xf numFmtId="44" fontId="3" fillId="0" borderId="1" xfId="1" applyFont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0" borderId="1" xfId="0" applyFont="1" applyBorder="1"/>
    <xf numFmtId="44" fontId="3" fillId="0" borderId="1" xfId="1" applyFont="1" applyBorder="1"/>
    <xf numFmtId="16" fontId="3" fillId="0" borderId="1" xfId="0" applyNumberFormat="1" applyFont="1" applyBorder="1"/>
    <xf numFmtId="44" fontId="3" fillId="22" borderId="1" xfId="1" applyFont="1" applyFill="1" applyBorder="1"/>
    <xf numFmtId="44" fontId="3" fillId="22" borderId="1" xfId="0" applyNumberFormat="1" applyFont="1" applyFill="1" applyBorder="1"/>
    <xf numFmtId="0" fontId="3" fillId="4" borderId="3" xfId="0" applyFont="1" applyFill="1" applyBorder="1" applyAlignment="1">
      <alignment horizontal="center" vertical="center"/>
    </xf>
    <xf numFmtId="44" fontId="3" fillId="0" borderId="4" xfId="0" applyNumberFormat="1" applyFont="1" applyBorder="1"/>
    <xf numFmtId="9" fontId="3" fillId="17" borderId="4" xfId="0" applyNumberFormat="1" applyFont="1" applyFill="1" applyBorder="1" applyAlignment="1">
      <alignment horizontal="center" vertical="center"/>
    </xf>
    <xf numFmtId="0" fontId="3" fillId="24" borderId="1" xfId="0" applyFont="1" applyFill="1" applyBorder="1" applyAlignment="1">
      <alignment horizontal="center" vertical="center"/>
    </xf>
    <xf numFmtId="0" fontId="3" fillId="26" borderId="1" xfId="0" applyFont="1" applyFill="1" applyBorder="1" applyAlignment="1">
      <alignment horizontal="center" vertical="center"/>
    </xf>
    <xf numFmtId="0" fontId="2" fillId="10" borderId="0" xfId="0" applyFont="1" applyFill="1"/>
    <xf numFmtId="0" fontId="0" fillId="0" borderId="0" xfId="0" applyBorder="1"/>
    <xf numFmtId="0" fontId="3" fillId="13" borderId="1" xfId="0" applyFont="1" applyFill="1" applyBorder="1"/>
    <xf numFmtId="0" fontId="0" fillId="0" borderId="4" xfId="0" applyBorder="1"/>
    <xf numFmtId="0" fontId="8" fillId="28" borderId="0" xfId="0" applyFont="1" applyFill="1"/>
    <xf numFmtId="0" fontId="8" fillId="28" borderId="1" xfId="0" applyFont="1" applyFill="1" applyBorder="1"/>
    <xf numFmtId="0" fontId="3" fillId="0" borderId="1" xfId="0" applyFont="1" applyFill="1" applyBorder="1"/>
    <xf numFmtId="0" fontId="7" fillId="13" borderId="1" xfId="0" applyFont="1" applyFill="1" applyBorder="1" applyAlignment="1">
      <alignment horizontal="center" vertical="center"/>
    </xf>
    <xf numFmtId="0" fontId="7" fillId="21" borderId="1" xfId="0" applyFont="1" applyFill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9" borderId="1" xfId="0" applyFont="1" applyFill="1" applyBorder="1" applyAlignment="1">
      <alignment horizontal="center" vertical="center"/>
    </xf>
    <xf numFmtId="0" fontId="3" fillId="29" borderId="1" xfId="0" applyFont="1" applyFill="1" applyBorder="1" applyAlignment="1">
      <alignment horizontal="center" vertical="center" wrapText="1"/>
    </xf>
    <xf numFmtId="22" fontId="3" fillId="0" borderId="1" xfId="0" applyNumberFormat="1" applyFont="1" applyBorder="1" applyAlignment="1">
      <alignment horizontal="center" vertical="center"/>
    </xf>
    <xf numFmtId="0" fontId="3" fillId="29" borderId="4" xfId="0" applyFont="1" applyFill="1" applyBorder="1"/>
    <xf numFmtId="14" fontId="3" fillId="0" borderId="4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0" fontId="2" fillId="32" borderId="1" xfId="0" applyFont="1" applyFill="1" applyBorder="1" applyAlignment="1">
      <alignment horizontal="center" vertical="center"/>
    </xf>
    <xf numFmtId="0" fontId="3" fillId="33" borderId="1" xfId="0" applyFont="1" applyFill="1" applyBorder="1" applyAlignment="1">
      <alignment horizontal="center" vertical="center"/>
    </xf>
    <xf numFmtId="44" fontId="3" fillId="33" borderId="1" xfId="1" applyFont="1" applyFill="1" applyBorder="1" applyAlignment="1">
      <alignment horizontal="center" vertical="center"/>
    </xf>
    <xf numFmtId="9" fontId="3" fillId="33" borderId="1" xfId="0" applyNumberFormat="1" applyFont="1" applyFill="1" applyBorder="1" applyAlignment="1">
      <alignment horizontal="center" vertical="center"/>
    </xf>
    <xf numFmtId="44" fontId="3" fillId="31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/>
    </xf>
    <xf numFmtId="0" fontId="3" fillId="34" borderId="1" xfId="0" applyFont="1" applyFill="1" applyBorder="1" applyAlignment="1">
      <alignment horizontal="center" vertical="center"/>
    </xf>
    <xf numFmtId="0" fontId="3" fillId="31" borderId="1" xfId="0" applyFont="1" applyFill="1" applyBorder="1"/>
    <xf numFmtId="0" fontId="0" fillId="0" borderId="0" xfId="0" applyAlignment="1">
      <alignment horizontal="left" vertical="center"/>
    </xf>
    <xf numFmtId="0" fontId="3" fillId="31" borderId="1" xfId="0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/>
    <xf numFmtId="0" fontId="3" fillId="35" borderId="1" xfId="0" applyFont="1" applyFill="1" applyBorder="1" applyAlignment="1">
      <alignment horizontal="center"/>
    </xf>
    <xf numFmtId="0" fontId="3" fillId="0" borderId="0" xfId="0" applyFont="1" applyFill="1" applyBorder="1"/>
    <xf numFmtId="0" fontId="0" fillId="0" borderId="1" xfId="0" applyNumberFormat="1" applyBorder="1" applyAlignment="1">
      <alignment horizontal="center" vertical="center"/>
    </xf>
    <xf numFmtId="0" fontId="15" fillId="35" borderId="1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35" borderId="4" xfId="0" applyFont="1" applyFill="1" applyBorder="1" applyAlignment="1">
      <alignment horizontal="center" vertical="center"/>
    </xf>
    <xf numFmtId="44" fontId="3" fillId="35" borderId="1" xfId="0" applyNumberFormat="1" applyFont="1" applyFill="1" applyBorder="1" applyAlignment="1">
      <alignment horizontal="center" vertical="center"/>
    </xf>
    <xf numFmtId="44" fontId="3" fillId="35" borderId="1" xfId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44" fontId="0" fillId="0" borderId="0" xfId="1" applyFont="1"/>
    <xf numFmtId="0" fontId="0" fillId="0" borderId="1" xfId="0" pivotButton="1" applyBorder="1" applyAlignment="1">
      <alignment horizontal="center" vertical="center"/>
    </xf>
    <xf numFmtId="0" fontId="0" fillId="0" borderId="1" xfId="0" pivotButton="1" applyBorder="1"/>
    <xf numFmtId="10" fontId="0" fillId="0" borderId="1" xfId="0" applyNumberFormat="1" applyBorder="1" applyAlignment="1">
      <alignment horizontal="center" vertical="center"/>
    </xf>
    <xf numFmtId="0" fontId="3" fillId="37" borderId="1" xfId="0" applyFont="1" applyFill="1" applyBorder="1" applyAlignment="1">
      <alignment horizontal="center" vertical="center"/>
    </xf>
    <xf numFmtId="0" fontId="2" fillId="36" borderId="1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44" fontId="3" fillId="12" borderId="1" xfId="0" applyNumberFormat="1" applyFont="1" applyFill="1" applyBorder="1"/>
    <xf numFmtId="44" fontId="3" fillId="18" borderId="1" xfId="1" applyFont="1" applyFill="1" applyBorder="1"/>
    <xf numFmtId="44" fontId="3" fillId="18" borderId="1" xfId="0" applyNumberFormat="1" applyFont="1" applyFill="1" applyBorder="1"/>
    <xf numFmtId="0" fontId="3" fillId="5" borderId="1" xfId="0" applyFont="1" applyFill="1" applyBorder="1" applyAlignment="1">
      <alignment horizontal="center" vertical="center" wrapText="1"/>
    </xf>
    <xf numFmtId="44" fontId="3" fillId="5" borderId="1" xfId="0" applyNumberFormat="1" applyFont="1" applyFill="1" applyBorder="1"/>
    <xf numFmtId="44" fontId="3" fillId="34" borderId="1" xfId="0" applyNumberFormat="1" applyFont="1" applyFill="1" applyBorder="1"/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22" fontId="3" fillId="11" borderId="1" xfId="0" applyNumberFormat="1" applyFont="1" applyFill="1" applyBorder="1" applyAlignment="1">
      <alignment horizontal="center" vertical="center"/>
    </xf>
    <xf numFmtId="44" fontId="3" fillId="0" borderId="4" xfId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44" fontId="3" fillId="3" borderId="1" xfId="1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6" borderId="0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 wrapText="1"/>
    </xf>
    <xf numFmtId="0" fontId="0" fillId="7" borderId="1" xfId="0" applyFill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13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3" fillId="1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/>
    </xf>
    <xf numFmtId="0" fontId="3" fillId="19" borderId="1" xfId="0" applyFont="1" applyFill="1" applyBorder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3" fillId="22" borderId="1" xfId="0" applyFont="1" applyFill="1" applyBorder="1" applyAlignment="1">
      <alignment horizontal="center" vertical="center"/>
    </xf>
    <xf numFmtId="0" fontId="3" fillId="17" borderId="4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3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4" borderId="1" xfId="0" applyFont="1" applyFill="1" applyBorder="1" applyAlignment="1">
      <alignment horizontal="center"/>
    </xf>
    <xf numFmtId="0" fontId="7" fillId="16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/>
    </xf>
    <xf numFmtId="0" fontId="3" fillId="26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/>
    </xf>
    <xf numFmtId="0" fontId="3" fillId="22" borderId="0" xfId="0" applyFont="1" applyFill="1" applyAlignment="1">
      <alignment horizontal="center"/>
    </xf>
    <xf numFmtId="0" fontId="10" fillId="7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30" borderId="0" xfId="0" applyFill="1" applyAlignment="1">
      <alignment horizontal="center"/>
    </xf>
    <xf numFmtId="0" fontId="0" fillId="30" borderId="6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2" fillId="25" borderId="5" xfId="0" applyFont="1" applyFill="1" applyBorder="1" applyAlignment="1">
      <alignment horizontal="center"/>
    </xf>
    <xf numFmtId="0" fontId="2" fillId="25" borderId="9" xfId="0" applyFont="1" applyFill="1" applyBorder="1" applyAlignment="1">
      <alignment horizontal="center"/>
    </xf>
    <xf numFmtId="0" fontId="2" fillId="25" borderId="7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25" borderId="1" xfId="0" applyFont="1" applyFill="1" applyBorder="1" applyAlignment="1">
      <alignment horizontal="center"/>
    </xf>
    <xf numFmtId="0" fontId="3" fillId="13" borderId="4" xfId="0" applyFont="1" applyFill="1" applyBorder="1" applyAlignment="1">
      <alignment horizontal="center"/>
    </xf>
    <xf numFmtId="0" fontId="3" fillId="13" borderId="1" xfId="0" applyFont="1" applyFill="1" applyBorder="1" applyAlignment="1">
      <alignment horizontal="center"/>
    </xf>
    <xf numFmtId="0" fontId="3" fillId="13" borderId="8" xfId="0" applyFont="1" applyFill="1" applyBorder="1" applyAlignment="1">
      <alignment horizontal="center"/>
    </xf>
    <xf numFmtId="0" fontId="3" fillId="13" borderId="7" xfId="0" applyFont="1" applyFill="1" applyBorder="1" applyAlignment="1">
      <alignment horizontal="center"/>
    </xf>
    <xf numFmtId="0" fontId="11" fillId="16" borderId="2" xfId="0" applyFont="1" applyFill="1" applyBorder="1" applyAlignment="1">
      <alignment horizontal="center" vertical="center"/>
    </xf>
    <xf numFmtId="0" fontId="11" fillId="16" borderId="0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1" fillId="16" borderId="10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/>
    </xf>
    <xf numFmtId="44" fontId="3" fillId="0" borderId="5" xfId="1" applyFont="1" applyBorder="1" applyAlignment="1">
      <alignment horizontal="center"/>
    </xf>
    <xf numFmtId="44" fontId="3" fillId="0" borderId="7" xfId="1" applyFont="1" applyBorder="1" applyAlignment="1">
      <alignment horizontal="center"/>
    </xf>
    <xf numFmtId="0" fontId="3" fillId="0" borderId="6" xfId="0" applyFont="1" applyBorder="1" applyAlignment="1">
      <alignment horizontal="right"/>
    </xf>
    <xf numFmtId="44" fontId="0" fillId="0" borderId="1" xfId="1" applyFont="1" applyBorder="1" applyAlignment="1">
      <alignment horizontal="center"/>
    </xf>
    <xf numFmtId="0" fontId="2" fillId="27" borderId="0" xfId="0" applyFont="1" applyFill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/>
    </xf>
    <xf numFmtId="0" fontId="3" fillId="11" borderId="1" xfId="0" applyFont="1" applyFill="1" applyBorder="1" applyAlignment="1">
      <alignment horizontal="left"/>
    </xf>
    <xf numFmtId="44" fontId="3" fillId="0" borderId="1" xfId="1" applyFont="1" applyBorder="1" applyAlignment="1">
      <alignment horizontal="center" vertical="center" wrapText="1"/>
    </xf>
    <xf numFmtId="0" fontId="15" fillId="35" borderId="1" xfId="0" applyFont="1" applyFill="1" applyBorder="1" applyAlignment="1">
      <alignment horizontal="center"/>
    </xf>
    <xf numFmtId="0" fontId="15" fillId="7" borderId="1" xfId="0" applyFont="1" applyFill="1" applyBorder="1" applyAlignment="1">
      <alignment horizontal="center"/>
    </xf>
    <xf numFmtId="0" fontId="3" fillId="35" borderId="1" xfId="0" applyFont="1" applyFill="1" applyBorder="1" applyAlignment="1">
      <alignment horizontal="center"/>
    </xf>
    <xf numFmtId="0" fontId="3" fillId="31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16" fillId="14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22" fontId="3" fillId="0" borderId="1" xfId="0" applyNumberFormat="1" applyFont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40">
    <dxf>
      <font>
        <b/>
        <i val="0"/>
        <color theme="4" tint="-0.24994659260841701"/>
      </font>
    </dxf>
    <dxf>
      <font>
        <b/>
        <i val="0"/>
        <color rgb="FFFF0000"/>
      </font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/>
        <color rgb="FFFF0000"/>
      </font>
    </dxf>
    <dxf>
      <font>
        <b/>
        <i/>
        <strike val="0"/>
      </font>
    </dxf>
    <dxf>
      <numFmt numFmtId="34" formatCode="_-&quot;R$&quot;\ * #,##0.00_-;\-&quot;R$&quot;\ * #,##0.00_-;_-&quot;R$&quot;\ * &quot;-&quot;??_-;_-@_-"/>
    </dxf>
    <dxf>
      <numFmt numFmtId="14" formatCode="0.00%"/>
    </dxf>
    <dxf>
      <alignment vertical="center" readingOrder="0"/>
    </dxf>
    <dxf>
      <alignment horizontal="center" readingOrder="0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 readingOrder="0"/>
    </dxf>
    <dxf>
      <alignment vertical="center" readingOrder="0"/>
    </dxf>
  </dxfs>
  <tableStyles count="0" defaultTableStyle="TableStyleMedium2" defaultPivotStyle="PivotStyleLight16"/>
  <colors>
    <mruColors>
      <color rgb="FFED7D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Qtde</a:t>
            </a:r>
            <a:r>
              <a:rPr lang="pt-BR" baseline="0"/>
              <a:t> de vendas 2022</a:t>
            </a:r>
            <a:endParaRPr lang="pt-BR"/>
          </a:p>
        </c:rich>
      </c:tx>
      <c:overlay val="0"/>
      <c:spPr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softEdge rad="101600"/>
        </a:effectLst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45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Gráfico!$A$3</c:f>
              <c:strCache>
                <c:ptCount val="1"/>
                <c:pt idx="0">
                  <c:v>Sandeiro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-1.4868711717395612E-17"/>
                  <c:y val="-6.96117804551539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8B-4E9D-978D-713354544F2B}"/>
                </c:ext>
              </c:extLst>
            </c:dLbl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Gráfico!$B$3:$D$3</c:f>
              <c:numCache>
                <c:formatCode>General</c:formatCode>
                <c:ptCount val="3"/>
                <c:pt idx="0">
                  <c:v>12</c:v>
                </c:pt>
                <c:pt idx="1">
                  <c:v>8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B-4E9D-978D-713354544F2B}"/>
            </c:ext>
          </c:extLst>
        </c:ser>
        <c:ser>
          <c:idx val="1"/>
          <c:order val="1"/>
          <c:tx>
            <c:strRef>
              <c:f>Gráfico!$A$4</c:f>
              <c:strCache>
                <c:ptCount val="1"/>
                <c:pt idx="0">
                  <c:v>Vectra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Gráfico!$B$4:$D$4</c:f>
              <c:numCache>
                <c:formatCode>General</c:formatCode>
                <c:ptCount val="3"/>
                <c:pt idx="0">
                  <c:v>5</c:v>
                </c:pt>
                <c:pt idx="1">
                  <c:v>9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8B-4E9D-978D-713354544F2B}"/>
            </c:ext>
          </c:extLst>
        </c:ser>
        <c:ser>
          <c:idx val="2"/>
          <c:order val="2"/>
          <c:tx>
            <c:strRef>
              <c:f>Gráfico!$A$5</c:f>
              <c:strCache>
                <c:ptCount val="1"/>
                <c:pt idx="0">
                  <c:v>Sentra</c:v>
                </c:pt>
              </c:strCache>
            </c:strRef>
          </c:tx>
          <c:spPr>
            <a:solidFill>
              <a:schemeClr val="accent3">
                <a:alpha val="88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Gráfico!$B$5:$D$5</c:f>
              <c:numCache>
                <c:formatCode>General</c:formatCode>
                <c:ptCount val="3"/>
                <c:pt idx="0">
                  <c:v>9</c:v>
                </c:pt>
                <c:pt idx="1">
                  <c:v>16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8B-4E9D-978D-713354544F2B}"/>
            </c:ext>
          </c:extLst>
        </c:ser>
        <c:ser>
          <c:idx val="3"/>
          <c:order val="3"/>
          <c:tx>
            <c:strRef>
              <c:f>Gráfico!$A$6</c:f>
              <c:strCache>
                <c:ptCount val="1"/>
                <c:pt idx="0">
                  <c:v>Siena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4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Gráfico!$B$6:$D$6</c:f>
              <c:numCache>
                <c:formatCode>General</c:formatCode>
                <c:ptCount val="3"/>
                <c:pt idx="0">
                  <c:v>10</c:v>
                </c:pt>
                <c:pt idx="1">
                  <c:v>14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8B-4E9D-978D-713354544F2B}"/>
            </c:ext>
          </c:extLst>
        </c:ser>
        <c:ser>
          <c:idx val="4"/>
          <c:order val="4"/>
          <c:tx>
            <c:strRef>
              <c:f>Gráfico!$A$7</c:f>
              <c:strCache>
                <c:ptCount val="1"/>
                <c:pt idx="0">
                  <c:v>Cruize</c:v>
                </c:pt>
              </c:strCache>
            </c:strRef>
          </c:tx>
          <c:spPr>
            <a:solidFill>
              <a:schemeClr val="accent5"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5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Gráfico!$B$7:$D$7</c:f>
              <c:numCache>
                <c:formatCode>General</c:formatCode>
                <c:ptCount val="3"/>
                <c:pt idx="0">
                  <c:v>20</c:v>
                </c:pt>
                <c:pt idx="1">
                  <c:v>5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8B-4E9D-978D-713354544F2B}"/>
            </c:ext>
          </c:extLst>
        </c:ser>
        <c:ser>
          <c:idx val="5"/>
          <c:order val="5"/>
          <c:tx>
            <c:strRef>
              <c:f>Gráfico!$A$8</c:f>
              <c:strCache>
                <c:ptCount val="1"/>
                <c:pt idx="0">
                  <c:v>Onix</c:v>
                </c:pt>
              </c:strCache>
            </c:strRef>
          </c:tx>
          <c:spPr>
            <a:solidFill>
              <a:schemeClr val="accent6"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5.5150040551500343E-2"/>
                  <c:y val="-0.348058902275769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8B-4E9D-978D-713354544F2B}"/>
                </c:ext>
              </c:extLst>
            </c:dLbl>
            <c:spPr>
              <a:solidFill>
                <a:schemeClr val="accent6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Gráfico!$B$8:$D$8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8B-4E9D-978D-713354544F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02343951"/>
        <c:axId val="302346031"/>
        <c:axId val="0"/>
      </c:bar3DChart>
      <c:catAx>
        <c:axId val="302343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2346031"/>
        <c:crosses val="autoZero"/>
        <c:auto val="1"/>
        <c:lblAlgn val="ctr"/>
        <c:lblOffset val="100"/>
        <c:noMultiLvlLbl val="0"/>
      </c:catAx>
      <c:valAx>
        <c:axId val="30234603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02343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Movimentação</a:t>
            </a:r>
            <a:r>
              <a:rPr lang="pt-BR" baseline="0">
                <a:solidFill>
                  <a:schemeClr val="bg1"/>
                </a:solidFill>
              </a:rPr>
              <a:t> Diária</a:t>
            </a:r>
            <a:endParaRPr lang="pt-BR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9.4342906875543725E-3"/>
          <c:y val="2.67558528428093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explosion val="17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20A-47FD-9C1B-082E9CC69AC8}"/>
              </c:ext>
            </c:extLst>
          </c:dPt>
          <c:dPt>
            <c:idx val="1"/>
            <c:bubble3D val="0"/>
            <c:explosion val="1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0A-47FD-9C1B-082E9CC69AC8}"/>
              </c:ext>
            </c:extLst>
          </c:dPt>
          <c:dPt>
            <c:idx val="2"/>
            <c:bubble3D val="0"/>
            <c:explosion val="26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0A-47FD-9C1B-082E9CC69AC8}"/>
              </c:ext>
            </c:extLst>
          </c:dPt>
          <c:dLbls>
            <c:dLbl>
              <c:idx val="2"/>
              <c:layout>
                <c:manualLayout>
                  <c:x val="0.27437155211995368"/>
                  <c:y val="-4.88757801595870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520A-47FD-9C1B-082E9CC69A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Fluxo!$D$3:$D$5</c:f>
              <c:strCache>
                <c:ptCount val="3"/>
                <c:pt idx="0">
                  <c:v>Caixa Inicial</c:v>
                </c:pt>
                <c:pt idx="1">
                  <c:v>Total Diário</c:v>
                </c:pt>
                <c:pt idx="2">
                  <c:v>Total Final</c:v>
                </c:pt>
              </c:strCache>
            </c:strRef>
          </c:cat>
          <c:val>
            <c:numRef>
              <c:f>Fluxo!$E$3:$E$5</c:f>
              <c:numCache>
                <c:formatCode>_("R$"* #,##0.00_);_("R$"* \(#,##0.00\);_("R$"* "-"??_);_(@_)</c:formatCode>
                <c:ptCount val="3"/>
                <c:pt idx="0">
                  <c:v>500</c:v>
                </c:pt>
                <c:pt idx="1">
                  <c:v>848.75</c:v>
                </c:pt>
                <c:pt idx="2">
                  <c:v>698.75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0A-47FD-9C1B-082E9CC6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1">
            <a:shade val="30000"/>
            <a:satMod val="115000"/>
          </a:schemeClr>
        </a:gs>
        <a:gs pos="50000">
          <a:schemeClr val="accent1">
            <a:shade val="67500"/>
            <a:satMod val="115000"/>
          </a:schemeClr>
        </a:gs>
        <a:gs pos="100000">
          <a:schemeClr val="accent1">
            <a:shade val="100000"/>
            <a:satMod val="115000"/>
          </a:schemeClr>
        </a:gs>
      </a:gsLst>
      <a:lin ang="108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" dropStyle="combo" dx="16" fmlaLink="B2" fmlaRange="'Caixas de Combinação_Matriz'!$A$2:$A$6" sel="1" val="0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CheckBox" fmlaLink="$B$14" lockText="1" noThreeD="1"/>
</file>

<file path=xl/ctrlProps/ctrlProp4.xml><?xml version="1.0" encoding="utf-8"?>
<formControlPr xmlns="http://schemas.microsoft.com/office/spreadsheetml/2009/9/main" objectType="CheckBox" fmlaLink="$B$15" lockText="1" noThreeD="1"/>
</file>

<file path=xl/ctrlProps/ctrlProp5.xml><?xml version="1.0" encoding="utf-8"?>
<formControlPr xmlns="http://schemas.microsoft.com/office/spreadsheetml/2009/9/main" objectType="CheckBox" checked="Checked" fmlaLink="$B$16" lockText="1" noThreeD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G$14" lockText="1" noThreeD="1"/>
</file>

<file path=xl/ctrlProps/ctrlProp8.xml><?xml version="1.0" encoding="utf-8"?>
<formControlPr xmlns="http://schemas.microsoft.com/office/spreadsheetml/2009/9/main" objectType="CheckBox" checked="Checked" fmlaLink="$G$15" lockText="1" noThreeD="1"/>
</file>

<file path=xl/ctrlProps/ctrlProp9.xml><?xml version="1.0" encoding="utf-8"?>
<formControlPr xmlns="http://schemas.microsoft.com/office/spreadsheetml/2009/9/main" objectType="CheckBox" fmlaLink="$G$16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CheckBox" fmlaLink="$K$14" lockText="1" noThreeD="1"/>
</file>

<file path=xl/ctrlProps/ctrlProp12.xml><?xml version="1.0" encoding="utf-8"?>
<formControlPr xmlns="http://schemas.microsoft.com/office/spreadsheetml/2009/9/main" objectType="CheckBox" checked="Checked" fmlaLink="$K$15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6.png"/><Relationship Id="rId1" Type="http://schemas.openxmlformats.org/officeDocument/2006/relationships/hyperlink" Target="http://www.google.com.br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1</xdr:col>
      <xdr:colOff>733257</xdr:colOff>
      <xdr:row>0</xdr:row>
      <xdr:rowOff>771524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0"/>
          <a:ext cx="1314282" cy="771524"/>
        </a:xfrm>
        <a:prstGeom prst="rect">
          <a:avLst/>
        </a:prstGeom>
      </xdr:spPr>
    </xdr:pic>
    <xdr:clientData/>
  </xdr:twoCellAnchor>
  <xdr:twoCellAnchor editAs="oneCell">
    <xdr:from>
      <xdr:col>3</xdr:col>
      <xdr:colOff>1476375</xdr:colOff>
      <xdr:row>0</xdr:row>
      <xdr:rowOff>0</xdr:rowOff>
    </xdr:from>
    <xdr:to>
      <xdr:col>5</xdr:col>
      <xdr:colOff>18882</xdr:colOff>
      <xdr:row>0</xdr:row>
      <xdr:rowOff>771524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2925" y="0"/>
          <a:ext cx="1314282" cy="771524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1</xdr:row>
      <xdr:rowOff>295275</xdr:rowOff>
    </xdr:from>
    <xdr:to>
      <xdr:col>9</xdr:col>
      <xdr:colOff>895350</xdr:colOff>
      <xdr:row>5</xdr:row>
      <xdr:rowOff>142343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3425" y="1095375"/>
          <a:ext cx="847725" cy="8186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635045</xdr:colOff>
      <xdr:row>48</xdr:row>
      <xdr:rowOff>47625</xdr:rowOff>
    </xdr:from>
    <xdr:to>
      <xdr:col>5</xdr:col>
      <xdr:colOff>990634</xdr:colOff>
      <xdr:row>48</xdr:row>
      <xdr:rowOff>389941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45" y="9277350"/>
          <a:ext cx="355589" cy="3423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352426</xdr:colOff>
      <xdr:row>1</xdr:row>
      <xdr:rowOff>31232</xdr:rowOff>
    </xdr:from>
    <xdr:to>
      <xdr:col>1</xdr:col>
      <xdr:colOff>428625</xdr:colOff>
      <xdr:row>5</xdr:row>
      <xdr:rowOff>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6" y="355082"/>
          <a:ext cx="895349" cy="730768"/>
        </a:xfrm>
        <a:prstGeom prst="rect">
          <a:avLst/>
        </a:prstGeom>
      </xdr:spPr>
    </xdr:pic>
    <xdr:clientData/>
  </xdr:twoCellAnchor>
  <xdr:twoCellAnchor editAs="oneCell">
    <xdr:from>
      <xdr:col>7</xdr:col>
      <xdr:colOff>133350</xdr:colOff>
      <xdr:row>29</xdr:row>
      <xdr:rowOff>83815</xdr:rowOff>
    </xdr:from>
    <xdr:to>
      <xdr:col>9</xdr:col>
      <xdr:colOff>485776</xdr:colOff>
      <xdr:row>35</xdr:row>
      <xdr:rowOff>117492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5960740"/>
          <a:ext cx="1571626" cy="11766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0</xdr:rowOff>
        </xdr:from>
        <xdr:to>
          <xdr:col>3</xdr:col>
          <xdr:colOff>523875</xdr:colOff>
          <xdr:row>1</xdr:row>
          <xdr:rowOff>200025</xdr:rowOff>
        </xdr:to>
        <xdr:sp macro="" textlink="">
          <xdr:nvSpPr>
            <xdr:cNvPr id="11265" name="Drop Down 1" descr="Caixa de Combinação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</xdr:row>
          <xdr:rowOff>104775</xdr:rowOff>
        </xdr:from>
        <xdr:to>
          <xdr:col>1</xdr:col>
          <xdr:colOff>228600</xdr:colOff>
          <xdr:row>6</xdr:row>
          <xdr:rowOff>66675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Curso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47625</xdr:rowOff>
        </xdr:from>
        <xdr:to>
          <xdr:col>1</xdr:col>
          <xdr:colOff>171450</xdr:colOff>
          <xdr:row>3</xdr:row>
          <xdr:rowOff>66675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Informática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85725</xdr:rowOff>
        </xdr:from>
        <xdr:to>
          <xdr:col>1</xdr:col>
          <xdr:colOff>171450</xdr:colOff>
          <xdr:row>4</xdr:row>
          <xdr:rowOff>104775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Web Design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123825</xdr:rowOff>
        </xdr:from>
        <xdr:to>
          <xdr:col>1</xdr:col>
          <xdr:colOff>171450</xdr:colOff>
          <xdr:row>5</xdr:row>
          <xdr:rowOff>142875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Hardware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104775</xdr:rowOff>
        </xdr:from>
        <xdr:to>
          <xdr:col>2</xdr:col>
          <xdr:colOff>514350</xdr:colOff>
          <xdr:row>6</xdr:row>
          <xdr:rowOff>66675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Período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</xdr:row>
          <xdr:rowOff>47625</xdr:rowOff>
        </xdr:from>
        <xdr:to>
          <xdr:col>2</xdr:col>
          <xdr:colOff>457200</xdr:colOff>
          <xdr:row>3</xdr:row>
          <xdr:rowOff>66675</xdr:rowOff>
        </xdr:to>
        <xdr:sp macro="" textlink="">
          <xdr:nvSpPr>
            <xdr:cNvPr id="13319" name="Check Box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Manhã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</xdr:row>
          <xdr:rowOff>85725</xdr:rowOff>
        </xdr:from>
        <xdr:to>
          <xdr:col>2</xdr:col>
          <xdr:colOff>457200</xdr:colOff>
          <xdr:row>4</xdr:row>
          <xdr:rowOff>104775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</xdr:row>
          <xdr:rowOff>123825</xdr:rowOff>
        </xdr:from>
        <xdr:to>
          <xdr:col>2</xdr:col>
          <xdr:colOff>457200</xdr:colOff>
          <xdr:row>5</xdr:row>
          <xdr:rowOff>142875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</xdr:row>
          <xdr:rowOff>104775</xdr:rowOff>
        </xdr:from>
        <xdr:to>
          <xdr:col>5</xdr:col>
          <xdr:colOff>466725</xdr:colOff>
          <xdr:row>6</xdr:row>
          <xdr:rowOff>66675</xdr:rowOff>
        </xdr:to>
        <xdr:sp macro="" textlink="">
          <xdr:nvSpPr>
            <xdr:cNvPr id="13322" name="Group Box 10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Forma de 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</xdr:row>
          <xdr:rowOff>47625</xdr:rowOff>
        </xdr:from>
        <xdr:to>
          <xdr:col>5</xdr:col>
          <xdr:colOff>161925</xdr:colOff>
          <xdr:row>3</xdr:row>
          <xdr:rowOff>66675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85725</xdr:rowOff>
        </xdr:from>
        <xdr:to>
          <xdr:col>5</xdr:col>
          <xdr:colOff>161925</xdr:colOff>
          <xdr:row>4</xdr:row>
          <xdr:rowOff>104775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Parcelado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19</xdr:row>
          <xdr:rowOff>152400</xdr:rowOff>
        </xdr:from>
        <xdr:to>
          <xdr:col>3</xdr:col>
          <xdr:colOff>114300</xdr:colOff>
          <xdr:row>22</xdr:row>
          <xdr:rowOff>28575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19</xdr:row>
          <xdr:rowOff>171450</xdr:rowOff>
        </xdr:from>
        <xdr:to>
          <xdr:col>6</xdr:col>
          <xdr:colOff>323850</xdr:colOff>
          <xdr:row>21</xdr:row>
          <xdr:rowOff>171450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</xdr:colOff>
      <xdr:row>0</xdr:row>
      <xdr:rowOff>38099</xdr:rowOff>
    </xdr:from>
    <xdr:to>
      <xdr:col>11</xdr:col>
      <xdr:colOff>276224</xdr:colOff>
      <xdr:row>11</xdr:row>
      <xdr:rowOff>161924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9</xdr:row>
      <xdr:rowOff>47625</xdr:rowOff>
    </xdr:from>
    <xdr:to>
      <xdr:col>5</xdr:col>
      <xdr:colOff>762000</xdr:colOff>
      <xdr:row>11</xdr:row>
      <xdr:rowOff>152400</xdr:rowOff>
    </xdr:to>
    <xdr:sp macro="[0]!Consultar" textlink="">
      <xdr:nvSpPr>
        <xdr:cNvPr id="2" name="Retângulo Arredondado 1"/>
        <xdr:cNvSpPr/>
      </xdr:nvSpPr>
      <xdr:spPr>
        <a:xfrm>
          <a:off x="4162425" y="1924050"/>
          <a:ext cx="1562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Consultar</a:t>
          </a:r>
        </a:p>
      </xdr:txBody>
    </xdr:sp>
    <xdr:clientData/>
  </xdr:twoCellAnchor>
  <xdr:twoCellAnchor>
    <xdr:from>
      <xdr:col>6</xdr:col>
      <xdr:colOff>19050</xdr:colOff>
      <xdr:row>9</xdr:row>
      <xdr:rowOff>47625</xdr:rowOff>
    </xdr:from>
    <xdr:to>
      <xdr:col>8</xdr:col>
      <xdr:colOff>161925</xdr:colOff>
      <xdr:row>11</xdr:row>
      <xdr:rowOff>152400</xdr:rowOff>
    </xdr:to>
    <xdr:sp macro="[0]!Limpar" textlink="">
      <xdr:nvSpPr>
        <xdr:cNvPr id="3" name="Retângulo Arredondado 2"/>
        <xdr:cNvSpPr/>
      </xdr:nvSpPr>
      <xdr:spPr>
        <a:xfrm>
          <a:off x="5781675" y="1924050"/>
          <a:ext cx="1562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0</xdr:row>
      <xdr:rowOff>0</xdr:rowOff>
    </xdr:from>
    <xdr:to>
      <xdr:col>4</xdr:col>
      <xdr:colOff>1228725</xdr:colOff>
      <xdr:row>2</xdr:row>
      <xdr:rowOff>0</xdr:rowOff>
    </xdr:to>
    <xdr:pic>
      <xdr:nvPicPr>
        <xdr:cNvPr id="2" name="Imagem 1">
          <a:hlinkClick xmlns:r="http://schemas.openxmlformats.org/officeDocument/2006/relationships" r:id="rId1" tooltip="Clique para abrir o site do Googl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0"/>
          <a:ext cx="1647825" cy="971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152400</xdr:rowOff>
        </xdr:from>
        <xdr:to>
          <xdr:col>2</xdr:col>
          <xdr:colOff>257175</xdr:colOff>
          <xdr:row>7</xdr:row>
          <xdr:rowOff>171450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161925</xdr:rowOff>
        </xdr:from>
        <xdr:to>
          <xdr:col>4</xdr:col>
          <xdr:colOff>266700</xdr:colOff>
          <xdr:row>7</xdr:row>
          <xdr:rowOff>180975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Saída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9525</xdr:colOff>
      <xdr:row>0</xdr:row>
      <xdr:rowOff>0</xdr:rowOff>
    </xdr:from>
    <xdr:to>
      <xdr:col>11</xdr:col>
      <xdr:colOff>0</xdr:colOff>
      <xdr:row>11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2</xdr:row>
          <xdr:rowOff>76200</xdr:rowOff>
        </xdr:from>
        <xdr:to>
          <xdr:col>4</xdr:col>
          <xdr:colOff>828675</xdr:colOff>
          <xdr:row>4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16380</xdr:col>
          <xdr:colOff>285750</xdr:colOff>
          <xdr:row>1</xdr:row>
          <xdr:rowOff>76200</xdr:rowOff>
        </xdr:from>
        <xdr:to>
          <xdr:col>16382</xdr:col>
          <xdr:colOff>209550</xdr:colOff>
          <xdr:row>3</xdr:row>
          <xdr:rowOff>104775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lena" refreshedDate="44913.689998495371" createdVersion="6" refreshedVersion="6" minRefreshableVersion="3" recordCount="8">
  <cacheSource type="worksheet">
    <worksheetSource ref="A1:D9" sheet="Tabela Dinâmica"/>
  </cacheSource>
  <cacheFields count="4">
    <cacheField name="Nome" numFmtId="0">
      <sharedItems count="8">
        <s v="Pedro"/>
        <s v="Carla"/>
        <s v="Fred"/>
        <s v="Sônia"/>
        <s v="Sandro"/>
        <s v="Maria"/>
        <s v="Fátima"/>
        <s v="Alberto"/>
      </sharedItems>
    </cacheField>
    <cacheField name="Cargo" numFmtId="0">
      <sharedItems/>
    </cacheField>
    <cacheField name="Salário" numFmtId="44">
      <sharedItems containsSemiMixedTypes="0" containsString="0" containsNumber="1" containsInteger="1" minValue="980" maxValue="2300"/>
    </cacheField>
    <cacheField name="Setor" numFmtId="0">
      <sharedItems count="4">
        <s v="RH"/>
        <s v="Financeiro"/>
        <s v="Diretoria"/>
        <s v="Operaçã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s v="Gerente"/>
    <n v="2300"/>
    <x v="0"/>
  </r>
  <r>
    <x v="1"/>
    <s v="Cobrança"/>
    <n v="1500"/>
    <x v="1"/>
  </r>
  <r>
    <x v="2"/>
    <s v="Escritório"/>
    <n v="1300"/>
    <x v="2"/>
  </r>
  <r>
    <x v="3"/>
    <s v="Atendimento"/>
    <n v="980"/>
    <x v="3"/>
  </r>
  <r>
    <x v="4"/>
    <s v="Cobrança"/>
    <n v="2300"/>
    <x v="1"/>
  </r>
  <r>
    <x v="5"/>
    <s v="Atendimento"/>
    <n v="1300"/>
    <x v="0"/>
  </r>
  <r>
    <x v="6"/>
    <s v="Atendimento"/>
    <n v="1100"/>
    <x v="3"/>
  </r>
  <r>
    <x v="7"/>
    <s v="Escritório"/>
    <n v="135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E7" firstHeaderRow="0" firstDataRow="1" firstDataCol="1" rowPageCount="1" colPageCount="1"/>
  <pivotFields count="4">
    <pivotField axis="axisRow" showAll="0" sortType="ascending">
      <items count="9">
        <item x="7"/>
        <item x="1"/>
        <item x="6"/>
        <item x="2"/>
        <item x="5"/>
        <item x="0"/>
        <item x="4"/>
        <item x="3"/>
        <item t="default"/>
      </items>
    </pivotField>
    <pivotField multipleItemSelectionAllowed="1" showAll="0"/>
    <pivotField dataField="1" numFmtId="44" showAll="0"/>
    <pivotField axis="axisPage" showAll="0">
      <items count="5">
        <item x="2"/>
        <item x="1"/>
        <item x="3"/>
        <item x="0"/>
        <item t="default"/>
      </items>
    </pivotField>
  </pivotFields>
  <rowFields count="1">
    <field x="0"/>
  </rowFields>
  <rowItems count="3">
    <i>
      <x v="4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3" item="3" hier="-1"/>
  </pageFields>
  <dataFields count="4">
    <dataField name="Nº de pessoas" fld="2" subtotal="count" baseField="0" baseItem="0"/>
    <dataField name="%" fld="2" showDataAs="percentOfTotal" baseField="0" baseItem="0" numFmtId="10"/>
    <dataField name="Soma de Salário" fld="2" baseField="0" baseItem="0"/>
    <dataField name="Média de Salário2" fld="2" subtotal="average" baseField="0" baseItem="0"/>
  </dataFields>
  <formats count="20">
    <format dxfId="39">
      <pivotArea collapsedLevelsAreSubtotals="1" fieldPosition="0">
        <references count="1">
          <reference field="3" count="0"/>
        </references>
      </pivotArea>
    </format>
    <format dxfId="38">
      <pivotArea collapsedLevelsAreSubtotals="1" fieldPosition="0">
        <references count="1">
          <reference field="3" count="0"/>
        </references>
      </pivotArea>
    </format>
    <format dxfId="37">
      <pivotArea collapsedLevelsAreSubtotals="1" fieldPosition="0">
        <references count="2">
          <reference field="4294967294" count="1" selected="0">
            <x v="2"/>
          </reference>
          <reference field="3" count="0"/>
        </references>
      </pivotArea>
    </format>
    <format dxfId="36">
      <pivotArea field="3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5">
      <pivotArea field="3" type="button" dataOnly="0" labelOnly="1" outline="0" axis="axisPage" fieldPosition="0"/>
    </format>
    <format dxfId="34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33">
      <pivotArea field="3" type="button" dataOnly="0" labelOnly="1" outline="0" axis="axisPage" fieldPosition="0"/>
    </format>
    <format dxfId="32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31">
      <pivotArea collapsedLevelsAreSubtotals="1" fieldPosition="0">
        <references count="2">
          <reference field="4294967294" count="1" selected="0">
            <x v="3"/>
          </reference>
          <reference field="3" count="0"/>
        </references>
      </pivotArea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3" type="button" dataOnly="0" labelOnly="1" outline="0" axis="axisPage" fieldPosition="0"/>
    </format>
    <format dxfId="27">
      <pivotArea dataOnly="0" labelOnly="1" fieldPosition="0">
        <references count="1">
          <reference field="3" count="0"/>
        </references>
      </pivotArea>
    </format>
    <format dxfId="26">
      <pivotArea dataOnly="0" labelOnly="1" grandRow="1" outline="0" fieldPosition="0"/>
    </format>
    <format dxfId="25">
      <pivotArea dataOnly="0" labelOnly="1" outline="0" fieldPosition="0">
        <references count="1">
          <reference field="4294967294" count="3">
            <x v="0"/>
            <x v="2"/>
            <x v="3"/>
          </reference>
        </references>
      </pivotArea>
    </format>
    <format dxfId="2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">
      <pivotArea outline="0" fieldPosition="0">
        <references count="1">
          <reference field="4294967294" count="1">
            <x v="1"/>
          </reference>
        </references>
      </pivotArea>
    </format>
    <format dxfId="20">
      <pivotArea field="3" grandRow="1" outline="0" collapsedLevelsAreSubtotals="1" axis="axisPage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5" Type="http://schemas.openxmlformats.org/officeDocument/2006/relationships/comments" Target="../comments7.xml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9"/>
  <sheetViews>
    <sheetView workbookViewId="0">
      <selection activeCell="C9" sqref="C9"/>
    </sheetView>
  </sheetViews>
  <sheetFormatPr defaultRowHeight="15" x14ac:dyDescent="0.25"/>
  <cols>
    <col min="1" max="1" width="11" customWidth="1"/>
    <col min="3" max="3" width="11.28515625" customWidth="1"/>
    <col min="4" max="4" width="11.42578125" customWidth="1"/>
    <col min="6" max="6" width="10.5703125" customWidth="1"/>
  </cols>
  <sheetData>
    <row r="1" spans="1:9" ht="44.25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/>
      <c r="H1" s="153" t="s">
        <v>6</v>
      </c>
      <c r="I1" s="154"/>
    </row>
    <row r="2" spans="1:9" x14ac:dyDescent="0.25">
      <c r="A2" s="6" t="s">
        <v>8</v>
      </c>
      <c r="B2" s="6" t="s">
        <v>13</v>
      </c>
      <c r="C2" s="9">
        <v>10</v>
      </c>
      <c r="D2" s="9">
        <f>HLOOKUP(A2,Trabalho,2)</f>
        <v>9.5</v>
      </c>
      <c r="E2" s="10">
        <f>AVERAGE(C2:D2)</f>
        <v>9.75</v>
      </c>
      <c r="F2" s="9" t="str">
        <f>IF(E2&lt;7,"Reprovado","Aprovado")</f>
        <v>Aprovado</v>
      </c>
      <c r="H2" s="7" t="s">
        <v>0</v>
      </c>
      <c r="I2" s="7" t="s">
        <v>7</v>
      </c>
    </row>
    <row r="3" spans="1:9" x14ac:dyDescent="0.25">
      <c r="A3" s="6" t="s">
        <v>9</v>
      </c>
      <c r="B3" s="6" t="s">
        <v>14</v>
      </c>
      <c r="C3" s="9">
        <f>VLOOKUP(A3,Prova,2)</f>
        <v>3.5</v>
      </c>
      <c r="D3" s="9">
        <f>HLOOKUP(A3,Trabalho,2)</f>
        <v>7.5</v>
      </c>
      <c r="E3" s="9">
        <f t="shared" ref="E3:E6" si="0">AVERAGE(C3:D3)</f>
        <v>5.5</v>
      </c>
      <c r="F3" s="9" t="str">
        <f t="shared" ref="F3:F6" si="1">IF(E3&lt;7,"Reprovado","Aprovado")</f>
        <v>Reprovado</v>
      </c>
      <c r="H3" s="6" t="s">
        <v>8</v>
      </c>
      <c r="I3" s="6">
        <v>10</v>
      </c>
    </row>
    <row r="4" spans="1:9" x14ac:dyDescent="0.25">
      <c r="A4" s="6" t="s">
        <v>10</v>
      </c>
      <c r="B4" s="6" t="s">
        <v>15</v>
      </c>
      <c r="C4" s="9">
        <f>VLOOKUP(A4,Prova,2)</f>
        <v>10</v>
      </c>
      <c r="D4" s="9">
        <f>HLOOKUP(A4,Trabalho,2)</f>
        <v>10</v>
      </c>
      <c r="E4" s="9">
        <f t="shared" si="0"/>
        <v>10</v>
      </c>
      <c r="F4" s="9" t="str">
        <f t="shared" si="1"/>
        <v>Aprovado</v>
      </c>
      <c r="H4" s="6" t="s">
        <v>9</v>
      </c>
      <c r="I4" s="6">
        <v>3.5</v>
      </c>
    </row>
    <row r="5" spans="1:9" x14ac:dyDescent="0.25">
      <c r="A5" s="6" t="s">
        <v>11</v>
      </c>
      <c r="B5" s="6" t="s">
        <v>16</v>
      </c>
      <c r="C5" s="9">
        <f>VLOOKUP(A5,Prova,2)</f>
        <v>4.5</v>
      </c>
      <c r="D5" s="9">
        <f>HLOOKUP(A5,Trabalho,2)</f>
        <v>4.5</v>
      </c>
      <c r="E5" s="9">
        <f t="shared" si="0"/>
        <v>4.5</v>
      </c>
      <c r="F5" s="11" t="str">
        <f t="shared" si="1"/>
        <v>Reprovado</v>
      </c>
      <c r="H5" s="6" t="s">
        <v>10</v>
      </c>
      <c r="I5" s="6">
        <v>10</v>
      </c>
    </row>
    <row r="6" spans="1:9" x14ac:dyDescent="0.25">
      <c r="A6" s="6" t="s">
        <v>12</v>
      </c>
      <c r="B6" s="6" t="s">
        <v>17</v>
      </c>
      <c r="C6" s="10">
        <f>VLOOKUP(A6,Prova,2)</f>
        <v>7</v>
      </c>
      <c r="D6" s="10">
        <f>HLOOKUP(A6,Trabalho,2)</f>
        <v>7</v>
      </c>
      <c r="E6" s="10">
        <f t="shared" si="0"/>
        <v>7</v>
      </c>
      <c r="F6" s="9" t="str">
        <f t="shared" si="1"/>
        <v>Aprovado</v>
      </c>
      <c r="H6" s="6" t="s">
        <v>11</v>
      </c>
      <c r="I6" s="6">
        <v>4.5</v>
      </c>
    </row>
    <row r="7" spans="1:9" x14ac:dyDescent="0.25">
      <c r="H7" s="6" t="s">
        <v>12</v>
      </c>
      <c r="I7" s="8">
        <v>7</v>
      </c>
    </row>
    <row r="8" spans="1:9" x14ac:dyDescent="0.25">
      <c r="A8" s="155" t="s">
        <v>18</v>
      </c>
      <c r="B8" s="6" t="s">
        <v>0</v>
      </c>
      <c r="C8" s="6" t="s">
        <v>8</v>
      </c>
      <c r="D8" s="6" t="s">
        <v>9</v>
      </c>
      <c r="E8" s="6" t="s">
        <v>10</v>
      </c>
      <c r="F8" s="6" t="s">
        <v>11</v>
      </c>
      <c r="G8" s="6" t="s">
        <v>12</v>
      </c>
    </row>
    <row r="9" spans="1:9" x14ac:dyDescent="0.25">
      <c r="A9" s="155"/>
      <c r="B9" s="6" t="s">
        <v>19</v>
      </c>
      <c r="C9" s="6">
        <v>9.5</v>
      </c>
      <c r="D9" s="6">
        <v>7.5</v>
      </c>
      <c r="E9" s="6">
        <v>10</v>
      </c>
      <c r="F9" s="6">
        <v>4.5</v>
      </c>
      <c r="G9" s="8">
        <v>7</v>
      </c>
    </row>
  </sheetData>
  <mergeCells count="2">
    <mergeCell ref="H1:I1"/>
    <mergeCell ref="A8:A9"/>
  </mergeCells>
  <conditionalFormatting sqref="F2:F6">
    <cfRule type="cellIs" dxfId="19" priority="2" operator="equal">
      <formula>"reprovado"</formula>
    </cfRule>
    <cfRule type="cellIs" dxfId="18" priority="3" operator="equal">
      <formula>"reprovado"</formula>
    </cfRule>
    <cfRule type="cellIs" dxfId="17" priority="4" operator="equal">
      <formula>"aprovado"</formula>
    </cfRule>
  </conditionalFormatting>
  <conditionalFormatting sqref="I3:I7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P18"/>
  <sheetViews>
    <sheetView topLeftCell="A10" workbookViewId="0">
      <selection activeCell="F16" sqref="F16"/>
    </sheetView>
  </sheetViews>
  <sheetFormatPr defaultRowHeight="15" x14ac:dyDescent="0.25"/>
  <cols>
    <col min="2" max="2" width="15.85546875" bestFit="1" customWidth="1"/>
    <col min="3" max="3" width="18.140625" bestFit="1" customWidth="1"/>
    <col min="4" max="4" width="28.42578125" bestFit="1" customWidth="1"/>
    <col min="5" max="5" width="13.140625" bestFit="1" customWidth="1"/>
    <col min="7" max="7" width="11" customWidth="1"/>
    <col min="8" max="8" width="10.140625" bestFit="1" customWidth="1"/>
    <col min="9" max="9" width="9.5703125" bestFit="1" customWidth="1"/>
    <col min="10" max="10" width="13.85546875" customWidth="1"/>
  </cols>
  <sheetData>
    <row r="1" spans="1:16" ht="63" customHeight="1" x14ac:dyDescent="0.25">
      <c r="A1" s="159" t="s">
        <v>20</v>
      </c>
      <c r="B1" s="159"/>
      <c r="C1" s="159"/>
      <c r="D1" s="159"/>
      <c r="E1" s="159"/>
      <c r="F1" s="13"/>
      <c r="G1" s="13"/>
      <c r="H1" s="12"/>
      <c r="I1" s="12"/>
      <c r="J1" s="12"/>
      <c r="K1" s="12"/>
      <c r="L1" s="12"/>
      <c r="M1" s="12"/>
      <c r="N1" s="12"/>
      <c r="O1" s="12"/>
      <c r="P1" s="12"/>
    </row>
    <row r="2" spans="1:16" ht="30" customHeight="1" x14ac:dyDescent="0.25">
      <c r="A2" s="158" t="s">
        <v>21</v>
      </c>
      <c r="B2" s="158"/>
      <c r="C2" s="158"/>
      <c r="D2" s="158"/>
      <c r="E2" s="158"/>
      <c r="F2" s="12"/>
      <c r="G2" s="160" t="s">
        <v>36</v>
      </c>
      <c r="H2" s="160"/>
      <c r="I2" s="160"/>
      <c r="J2" s="162"/>
      <c r="K2" s="12"/>
      <c r="L2" s="12"/>
      <c r="M2" s="12"/>
      <c r="N2" s="12"/>
      <c r="O2" s="12"/>
      <c r="P2" s="12"/>
    </row>
    <row r="3" spans="1:16" ht="16.5" customHeight="1" x14ac:dyDescent="0.25">
      <c r="A3" s="18" t="s">
        <v>22</v>
      </c>
      <c r="B3" s="18" t="s">
        <v>21</v>
      </c>
      <c r="C3" s="18" t="s">
        <v>48</v>
      </c>
      <c r="D3" s="18" t="s">
        <v>23</v>
      </c>
      <c r="E3" s="19" t="s">
        <v>24</v>
      </c>
      <c r="G3" s="19" t="s">
        <v>37</v>
      </c>
      <c r="H3" s="19" t="s">
        <v>38</v>
      </c>
      <c r="I3" s="19" t="s">
        <v>39</v>
      </c>
      <c r="J3" s="162"/>
      <c r="K3" s="12"/>
      <c r="L3" s="12"/>
      <c r="M3" s="12"/>
      <c r="N3" s="12"/>
      <c r="O3" s="12"/>
      <c r="P3" s="12"/>
    </row>
    <row r="4" spans="1:16" x14ac:dyDescent="0.25">
      <c r="A4" s="6">
        <v>1</v>
      </c>
      <c r="B4" s="6" t="s">
        <v>25</v>
      </c>
      <c r="C4" s="15">
        <v>11.9</v>
      </c>
      <c r="D4" s="6" t="s">
        <v>32</v>
      </c>
      <c r="E4" s="15">
        <v>23.9</v>
      </c>
      <c r="F4" s="12"/>
      <c r="G4" s="16">
        <v>11</v>
      </c>
      <c r="H4" s="16" t="s">
        <v>40</v>
      </c>
      <c r="I4" s="20">
        <v>8.9</v>
      </c>
      <c r="J4" s="162"/>
      <c r="K4" s="12"/>
      <c r="L4" s="12"/>
      <c r="M4" s="12"/>
      <c r="N4" s="12"/>
      <c r="O4" s="12"/>
      <c r="P4" s="12"/>
    </row>
    <row r="5" spans="1:16" x14ac:dyDescent="0.25">
      <c r="A5" s="6">
        <v>2</v>
      </c>
      <c r="B5" s="6" t="s">
        <v>26</v>
      </c>
      <c r="C5" s="15">
        <v>19.899999999999999</v>
      </c>
      <c r="D5" s="6" t="s">
        <v>32</v>
      </c>
      <c r="E5" s="15">
        <v>28.9</v>
      </c>
      <c r="F5" s="12"/>
      <c r="G5" s="16">
        <v>22</v>
      </c>
      <c r="H5" s="16" t="s">
        <v>41</v>
      </c>
      <c r="I5" s="20">
        <v>6.9</v>
      </c>
      <c r="J5" s="162"/>
      <c r="K5" s="12"/>
      <c r="L5" s="12"/>
      <c r="M5" s="12"/>
      <c r="N5" s="12"/>
      <c r="O5" s="12"/>
      <c r="P5" s="12"/>
    </row>
    <row r="6" spans="1:16" ht="30.75" customHeight="1" x14ac:dyDescent="0.25">
      <c r="A6" s="6">
        <v>3</v>
      </c>
      <c r="B6" s="6" t="s">
        <v>34</v>
      </c>
      <c r="C6" s="15">
        <v>12.9</v>
      </c>
      <c r="D6" s="2" t="s">
        <v>33</v>
      </c>
      <c r="E6" s="15">
        <v>18.899999999999999</v>
      </c>
      <c r="F6" s="12"/>
      <c r="G6" s="16">
        <v>33</v>
      </c>
      <c r="H6" s="16" t="s">
        <v>42</v>
      </c>
      <c r="I6" s="20">
        <v>10.9</v>
      </c>
      <c r="J6" s="162"/>
      <c r="K6" s="12"/>
      <c r="L6" s="12"/>
      <c r="M6" s="12"/>
      <c r="N6" s="12"/>
      <c r="O6" s="12"/>
      <c r="P6" s="12"/>
    </row>
    <row r="7" spans="1:16" ht="27" customHeight="1" x14ac:dyDescent="0.25">
      <c r="A7" s="6">
        <v>4</v>
      </c>
      <c r="B7" s="6" t="s">
        <v>27</v>
      </c>
      <c r="C7" s="15">
        <v>13.9</v>
      </c>
      <c r="D7" s="2" t="s">
        <v>35</v>
      </c>
      <c r="E7" s="15">
        <v>17.5</v>
      </c>
      <c r="F7" s="12"/>
      <c r="G7" s="16">
        <v>44</v>
      </c>
      <c r="H7" s="16" t="s">
        <v>43</v>
      </c>
      <c r="I7" s="20">
        <v>2.9</v>
      </c>
      <c r="J7" s="162"/>
      <c r="K7" s="12"/>
      <c r="L7" s="12"/>
      <c r="M7" s="12"/>
      <c r="N7" s="12"/>
      <c r="O7" s="12"/>
      <c r="P7" s="12"/>
    </row>
    <row r="8" spans="1:16" x14ac:dyDescent="0.25">
      <c r="A8" s="6">
        <v>5</v>
      </c>
      <c r="B8" s="6" t="s">
        <v>28</v>
      </c>
      <c r="C8" s="15">
        <v>13.9</v>
      </c>
      <c r="D8" s="6" t="s">
        <v>32</v>
      </c>
      <c r="E8" s="15">
        <v>17.5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</row>
    <row r="9" spans="1:16" x14ac:dyDescent="0.25">
      <c r="A9" s="6">
        <v>6</v>
      </c>
      <c r="B9" s="6" t="s">
        <v>29</v>
      </c>
      <c r="C9" s="15">
        <v>15.5</v>
      </c>
      <c r="D9" s="6" t="s">
        <v>32</v>
      </c>
      <c r="E9" s="15">
        <v>18.899999999999999</v>
      </c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6" x14ac:dyDescent="0.25">
      <c r="A10" s="6">
        <v>7</v>
      </c>
      <c r="B10" s="6" t="s">
        <v>30</v>
      </c>
      <c r="C10" s="15">
        <v>16.899999999999999</v>
      </c>
      <c r="D10" s="6" t="s">
        <v>32</v>
      </c>
      <c r="E10" s="15">
        <v>24.9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1:16" x14ac:dyDescent="0.25">
      <c r="A11" s="6">
        <v>8</v>
      </c>
      <c r="B11" s="6" t="s">
        <v>31</v>
      </c>
      <c r="C11" s="15">
        <v>17.5</v>
      </c>
      <c r="D11" s="6" t="s">
        <v>32</v>
      </c>
      <c r="E11" s="15">
        <v>22.9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</row>
    <row r="12" spans="1:16" x14ac:dyDescent="0.25"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</row>
    <row r="13" spans="1:16" x14ac:dyDescent="0.25">
      <c r="A13" s="157" t="s">
        <v>44</v>
      </c>
      <c r="B13" s="157"/>
      <c r="C13" s="157"/>
      <c r="D13" s="157"/>
      <c r="E13" s="157"/>
      <c r="F13" s="157"/>
      <c r="G13" s="157"/>
      <c r="H13" s="157"/>
      <c r="I13" s="157"/>
      <c r="J13" s="157"/>
      <c r="K13" s="12"/>
      <c r="L13" s="12"/>
      <c r="M13" s="12"/>
      <c r="N13" s="12"/>
      <c r="O13" s="12"/>
      <c r="P13" s="12"/>
    </row>
    <row r="14" spans="1:16" ht="28.5" customHeight="1" x14ac:dyDescent="0.25">
      <c r="A14" s="9" t="s">
        <v>45</v>
      </c>
      <c r="B14" s="17" t="s">
        <v>46</v>
      </c>
      <c r="C14" s="9" t="s">
        <v>47</v>
      </c>
      <c r="D14" s="17" t="s">
        <v>49</v>
      </c>
      <c r="E14" s="22" t="s">
        <v>50</v>
      </c>
      <c r="F14" s="17" t="s">
        <v>51</v>
      </c>
      <c r="G14" s="17" t="s">
        <v>38</v>
      </c>
      <c r="H14" s="161" t="s">
        <v>52</v>
      </c>
      <c r="I14" s="161"/>
      <c r="J14" s="17" t="s">
        <v>53</v>
      </c>
      <c r="K14" s="12"/>
      <c r="L14" s="12"/>
      <c r="M14" s="12"/>
      <c r="N14" s="12"/>
      <c r="O14" s="12"/>
      <c r="P14" s="12"/>
    </row>
    <row r="15" spans="1:16" ht="23.25" customHeight="1" x14ac:dyDescent="0.25">
      <c r="A15" s="6">
        <v>4</v>
      </c>
      <c r="B15" s="6" t="str">
        <f>VLOOKUP(A15,Lanches,2)</f>
        <v>Quarteirão</v>
      </c>
      <c r="C15" s="15">
        <f>VLOOKUP(A15,Lanches,3)</f>
        <v>13.9</v>
      </c>
      <c r="D15" s="6" t="str">
        <f>VLOOKUP(A15,Lanches,4)</f>
        <v>Mc Nuggets + Refrigerante ou Suco</v>
      </c>
      <c r="E15" s="15">
        <f>VLOOKUP(A15,Lanches,5)</f>
        <v>17.5</v>
      </c>
      <c r="F15" s="16">
        <v>11</v>
      </c>
      <c r="G15" s="16" t="str">
        <f>VLOOKUP(F15,Sobremesas,2)</f>
        <v>Milkshake</v>
      </c>
      <c r="H15" s="156">
        <f>VLOOKUP(F15,Sobremesas,3)</f>
        <v>8.9</v>
      </c>
      <c r="I15" s="156"/>
      <c r="J15" s="21">
        <f>SUM(E15,H15)</f>
        <v>26.4</v>
      </c>
      <c r="K15" s="12"/>
      <c r="L15" s="12"/>
      <c r="M15" s="12"/>
      <c r="N15" s="12"/>
      <c r="O15" s="12"/>
      <c r="P15" s="12"/>
    </row>
    <row r="16" spans="1:16" x14ac:dyDescent="0.25"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</row>
    <row r="17" spans="6:16" x14ac:dyDescent="0.25"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</row>
    <row r="18" spans="6:16" x14ac:dyDescent="0.25"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</row>
  </sheetData>
  <mergeCells count="7">
    <mergeCell ref="H15:I15"/>
    <mergeCell ref="A13:J13"/>
    <mergeCell ref="A2:E2"/>
    <mergeCell ref="A1:E1"/>
    <mergeCell ref="G2:I2"/>
    <mergeCell ref="H14:I14"/>
    <mergeCell ref="J2:J7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J22"/>
  <sheetViews>
    <sheetView topLeftCell="A7" workbookViewId="0">
      <selection activeCell="I10" sqref="I10"/>
    </sheetView>
  </sheetViews>
  <sheetFormatPr defaultRowHeight="15" x14ac:dyDescent="0.25"/>
  <cols>
    <col min="1" max="1" width="16.85546875" bestFit="1" customWidth="1"/>
    <col min="2" max="2" width="11.42578125" customWidth="1"/>
    <col min="5" max="5" width="15.85546875" bestFit="1" customWidth="1"/>
    <col min="6" max="6" width="12.140625" bestFit="1" customWidth="1"/>
    <col min="8" max="8" width="11.140625" bestFit="1" customWidth="1"/>
    <col min="9" max="9" width="11.85546875" bestFit="1" customWidth="1"/>
    <col min="10" max="10" width="13.7109375" bestFit="1" customWidth="1"/>
  </cols>
  <sheetData>
    <row r="1" spans="1:10" x14ac:dyDescent="0.25">
      <c r="A1" s="163" t="s">
        <v>54</v>
      </c>
      <c r="B1" s="163"/>
      <c r="C1" s="163"/>
      <c r="D1" s="163"/>
      <c r="E1" s="163"/>
      <c r="F1" s="163"/>
      <c r="G1" s="163"/>
      <c r="H1" s="163"/>
    </row>
    <row r="2" spans="1:10" x14ac:dyDescent="0.25">
      <c r="D2" s="166" t="s">
        <v>104</v>
      </c>
      <c r="E2" s="166"/>
    </row>
    <row r="3" spans="1:10" x14ac:dyDescent="0.25">
      <c r="A3" s="30" t="s">
        <v>55</v>
      </c>
      <c r="B3" s="31">
        <v>10006</v>
      </c>
      <c r="D3" s="5" t="s">
        <v>105</v>
      </c>
      <c r="E3" s="29">
        <f ca="1">NOW()</f>
        <v>44913.725087500003</v>
      </c>
    </row>
    <row r="4" spans="1:10" x14ac:dyDescent="0.25">
      <c r="A4" s="32" t="s">
        <v>56</v>
      </c>
      <c r="B4" s="165" t="str">
        <f>VLOOKUP(B3,Tab_Clientes,2)</f>
        <v>Rodrigo</v>
      </c>
      <c r="C4" s="165"/>
      <c r="D4" s="165"/>
      <c r="E4" s="165"/>
    </row>
    <row r="5" spans="1:10" x14ac:dyDescent="0.25">
      <c r="A5" s="30" t="s">
        <v>57</v>
      </c>
      <c r="B5" s="164" t="str">
        <f>VLOOKUP(B3,Tab_Clientes,3)</f>
        <v>R. Rosa</v>
      </c>
      <c r="C5" s="164"/>
      <c r="D5" s="164"/>
      <c r="E5" s="164"/>
      <c r="F5" s="164"/>
      <c r="G5" s="164"/>
      <c r="H5" s="164"/>
    </row>
    <row r="6" spans="1:10" x14ac:dyDescent="0.25">
      <c r="A6" s="32" t="s">
        <v>58</v>
      </c>
      <c r="B6" s="165" t="str">
        <f>VLOOKUP(B3,Tab_Clientes,4)</f>
        <v>(51) 999792467</v>
      </c>
      <c r="C6" s="165"/>
    </row>
    <row r="8" spans="1:10" x14ac:dyDescent="0.25">
      <c r="A8" s="25" t="s">
        <v>59</v>
      </c>
      <c r="B8" s="25" t="s">
        <v>38</v>
      </c>
      <c r="C8" s="25" t="s">
        <v>60</v>
      </c>
      <c r="D8" s="25" t="s">
        <v>61</v>
      </c>
      <c r="E8" s="25" t="s">
        <v>62</v>
      </c>
      <c r="F8" s="25" t="s">
        <v>63</v>
      </c>
      <c r="G8" s="25" t="s">
        <v>64</v>
      </c>
      <c r="H8" s="25" t="s">
        <v>65</v>
      </c>
    </row>
    <row r="9" spans="1:10" x14ac:dyDescent="0.25">
      <c r="A9" s="9">
        <v>20008</v>
      </c>
      <c r="B9" s="5" t="str">
        <f>VLOOKUP(A9,Tab_Produtos,2)</f>
        <v>Cotonete</v>
      </c>
      <c r="C9" s="26">
        <f>VLOOKUP(A9,Tab_Produtos,3)</f>
        <v>8</v>
      </c>
      <c r="D9" s="6">
        <v>1</v>
      </c>
      <c r="E9" s="6" t="str">
        <f>VLOOKUP(A9,Tab_Produtos,4)</f>
        <v>PCT</v>
      </c>
      <c r="F9" s="27">
        <f>C9*D9</f>
        <v>8</v>
      </c>
      <c r="G9" s="28">
        <f>VLOOKUP(A9,Tab_Produtos,5)</f>
        <v>0.04</v>
      </c>
      <c r="H9" s="27">
        <f>F9*G9</f>
        <v>0.32</v>
      </c>
    </row>
    <row r="10" spans="1:10" x14ac:dyDescent="0.25">
      <c r="A10" s="9">
        <v>20002</v>
      </c>
      <c r="B10" s="5" t="str">
        <f>VLOOKUP(A10,Tab_Produtos,2)</f>
        <v>Detergente</v>
      </c>
      <c r="C10" s="26">
        <f>VLOOKUP(A10,Tab_Produtos,3)</f>
        <v>1.8</v>
      </c>
      <c r="D10" s="6">
        <v>3</v>
      </c>
      <c r="E10" s="6" t="str">
        <f>VLOOKUP(A10,Tab_Produtos,4)</f>
        <v>L</v>
      </c>
      <c r="F10" s="27">
        <f t="shared" ref="F10:F11" si="0">C10*D10</f>
        <v>5.4</v>
      </c>
      <c r="G10" s="28">
        <f>VLOOKUP(A10,Tab_Produtos,5)</f>
        <v>0.1</v>
      </c>
      <c r="H10" s="27">
        <f t="shared" ref="H10:H11" si="1">F10*G10</f>
        <v>0.54</v>
      </c>
    </row>
    <row r="11" spans="1:10" x14ac:dyDescent="0.25">
      <c r="A11" s="9">
        <v>20007</v>
      </c>
      <c r="B11" s="5" t="str">
        <f>VLOOKUP(A11,Tab_Produtos,2)</f>
        <v>Algodão</v>
      </c>
      <c r="C11" s="26">
        <f>VLOOKUP(A11,Tab_Produtos,3)</f>
        <v>6</v>
      </c>
      <c r="D11" s="6">
        <v>3</v>
      </c>
      <c r="E11" s="6" t="str">
        <f>VLOOKUP(A11,Tab_Produtos,4)</f>
        <v>PCT</v>
      </c>
      <c r="F11" s="27">
        <f t="shared" si="0"/>
        <v>18</v>
      </c>
      <c r="G11" s="28">
        <f>VLOOKUP(A11,Tab_Produtos,5)</f>
        <v>0.09</v>
      </c>
      <c r="H11" s="27">
        <f t="shared" si="1"/>
        <v>1.6199999999999999</v>
      </c>
    </row>
    <row r="12" spans="1:10" x14ac:dyDescent="0.25">
      <c r="E12" s="5" t="s">
        <v>63</v>
      </c>
      <c r="F12" s="27">
        <f>SUM(F9:F11)</f>
        <v>31.4</v>
      </c>
      <c r="G12" s="27">
        <f t="shared" ref="G12:H12" si="2">SUM(G9:G11)</f>
        <v>0.23</v>
      </c>
      <c r="H12" s="27">
        <f t="shared" si="2"/>
        <v>2.48</v>
      </c>
    </row>
    <row r="14" spans="1:10" x14ac:dyDescent="0.25">
      <c r="A14" s="25" t="s">
        <v>59</v>
      </c>
      <c r="B14" s="25" t="s">
        <v>38</v>
      </c>
      <c r="C14" s="25" t="s">
        <v>60</v>
      </c>
      <c r="D14" s="25" t="s">
        <v>62</v>
      </c>
      <c r="E14" s="25" t="s">
        <v>64</v>
      </c>
      <c r="G14" s="25" t="s">
        <v>78</v>
      </c>
      <c r="H14" s="25" t="s">
        <v>79</v>
      </c>
      <c r="I14" s="25" t="s">
        <v>80</v>
      </c>
      <c r="J14" s="25" t="s">
        <v>58</v>
      </c>
    </row>
    <row r="15" spans="1:10" x14ac:dyDescent="0.25">
      <c r="A15" s="6">
        <v>20001</v>
      </c>
      <c r="B15" s="6" t="s">
        <v>66</v>
      </c>
      <c r="C15" s="15">
        <v>5.21</v>
      </c>
      <c r="D15" s="6" t="s">
        <v>74</v>
      </c>
      <c r="E15" s="23">
        <v>0.15</v>
      </c>
      <c r="G15" s="6">
        <v>10001</v>
      </c>
      <c r="H15" s="6" t="s">
        <v>81</v>
      </c>
      <c r="I15" s="5" t="s">
        <v>89</v>
      </c>
      <c r="J15" s="5" t="s">
        <v>96</v>
      </c>
    </row>
    <row r="16" spans="1:10" x14ac:dyDescent="0.25">
      <c r="A16" s="6">
        <v>20002</v>
      </c>
      <c r="B16" s="6" t="s">
        <v>67</v>
      </c>
      <c r="C16" s="15">
        <v>1.8</v>
      </c>
      <c r="D16" s="6" t="s">
        <v>75</v>
      </c>
      <c r="E16" s="24">
        <v>0.1</v>
      </c>
      <c r="G16" s="6">
        <v>10002</v>
      </c>
      <c r="H16" s="6" t="s">
        <v>82</v>
      </c>
      <c r="I16" s="5" t="s">
        <v>90</v>
      </c>
      <c r="J16" s="5" t="s">
        <v>97</v>
      </c>
    </row>
    <row r="17" spans="1:10" x14ac:dyDescent="0.25">
      <c r="A17" s="6">
        <v>20003</v>
      </c>
      <c r="B17" s="6" t="s">
        <v>68</v>
      </c>
      <c r="C17" s="15">
        <v>0.45</v>
      </c>
      <c r="D17" s="6" t="s">
        <v>76</v>
      </c>
      <c r="E17" s="23">
        <v>0.12</v>
      </c>
      <c r="G17" s="6">
        <v>10003</v>
      </c>
      <c r="H17" s="6" t="s">
        <v>83</v>
      </c>
      <c r="I17" s="5" t="s">
        <v>91</v>
      </c>
      <c r="J17" s="5" t="s">
        <v>98</v>
      </c>
    </row>
    <row r="18" spans="1:10" x14ac:dyDescent="0.25">
      <c r="A18" s="6">
        <v>20004</v>
      </c>
      <c r="B18" s="6" t="s">
        <v>69</v>
      </c>
      <c r="C18" s="15">
        <v>1.58</v>
      </c>
      <c r="D18" s="6" t="s">
        <v>75</v>
      </c>
      <c r="E18" s="23">
        <v>0.04</v>
      </c>
      <c r="G18" s="6">
        <v>10004</v>
      </c>
      <c r="H18" s="6" t="s">
        <v>84</v>
      </c>
      <c r="I18" s="5" t="s">
        <v>92</v>
      </c>
      <c r="J18" s="5" t="s">
        <v>99</v>
      </c>
    </row>
    <row r="19" spans="1:10" x14ac:dyDescent="0.25">
      <c r="A19" s="6">
        <v>20005</v>
      </c>
      <c r="B19" s="6" t="s">
        <v>70</v>
      </c>
      <c r="C19" s="15">
        <v>0.59</v>
      </c>
      <c r="D19" s="6" t="s">
        <v>77</v>
      </c>
      <c r="E19" s="23">
        <v>0.08</v>
      </c>
      <c r="G19" s="6">
        <v>10005</v>
      </c>
      <c r="H19" s="6" t="s">
        <v>85</v>
      </c>
      <c r="I19" s="5" t="s">
        <v>93</v>
      </c>
      <c r="J19" s="5" t="s">
        <v>100</v>
      </c>
    </row>
    <row r="20" spans="1:10" x14ac:dyDescent="0.25">
      <c r="A20" s="6">
        <v>20006</v>
      </c>
      <c r="B20" s="6" t="s">
        <v>71</v>
      </c>
      <c r="C20" s="15">
        <v>0.25</v>
      </c>
      <c r="D20" s="6" t="s">
        <v>77</v>
      </c>
      <c r="E20" s="23">
        <v>0.12</v>
      </c>
      <c r="G20" s="6">
        <v>10006</v>
      </c>
      <c r="H20" s="6" t="s">
        <v>86</v>
      </c>
      <c r="I20" s="5" t="s">
        <v>94</v>
      </c>
      <c r="J20" s="5" t="s">
        <v>101</v>
      </c>
    </row>
    <row r="21" spans="1:10" x14ac:dyDescent="0.25">
      <c r="A21" s="6">
        <v>20007</v>
      </c>
      <c r="B21" s="6" t="s">
        <v>72</v>
      </c>
      <c r="C21" s="15">
        <v>6</v>
      </c>
      <c r="D21" s="6" t="s">
        <v>76</v>
      </c>
      <c r="E21" s="23">
        <v>0.09</v>
      </c>
      <c r="G21" s="6">
        <v>10007</v>
      </c>
      <c r="H21" s="6" t="s">
        <v>87</v>
      </c>
      <c r="I21" s="5" t="s">
        <v>95</v>
      </c>
      <c r="J21" s="5" t="s">
        <v>102</v>
      </c>
    </row>
    <row r="22" spans="1:10" x14ac:dyDescent="0.25">
      <c r="A22" s="6">
        <v>20008</v>
      </c>
      <c r="B22" s="6" t="s">
        <v>73</v>
      </c>
      <c r="C22" s="15">
        <v>8</v>
      </c>
      <c r="D22" s="6" t="s">
        <v>76</v>
      </c>
      <c r="E22" s="23">
        <v>0.04</v>
      </c>
      <c r="G22" s="6">
        <v>10008</v>
      </c>
      <c r="H22" s="6" t="s">
        <v>88</v>
      </c>
      <c r="I22" s="5" t="s">
        <v>95</v>
      </c>
      <c r="J22" s="5" t="s">
        <v>103</v>
      </c>
    </row>
  </sheetData>
  <mergeCells count="5">
    <mergeCell ref="A1:H1"/>
    <mergeCell ref="B5:H5"/>
    <mergeCell ref="B4:E4"/>
    <mergeCell ref="D2:E2"/>
    <mergeCell ref="B6:C6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1:H64"/>
  <sheetViews>
    <sheetView topLeftCell="A48" workbookViewId="0">
      <selection activeCell="K53" sqref="K53"/>
    </sheetView>
  </sheetViews>
  <sheetFormatPr defaultRowHeight="15" x14ac:dyDescent="0.25"/>
  <cols>
    <col min="1" max="1" width="15.85546875" customWidth="1"/>
    <col min="2" max="2" width="14.140625" bestFit="1" customWidth="1"/>
    <col min="3" max="3" width="15.7109375" customWidth="1"/>
    <col min="4" max="4" width="18.5703125" bestFit="1" customWidth="1"/>
    <col min="5" max="5" width="18" customWidth="1"/>
    <col min="6" max="6" width="19.28515625" customWidth="1"/>
    <col min="7" max="7" width="18.140625" customWidth="1"/>
    <col min="8" max="8" width="10.7109375" bestFit="1" customWidth="1"/>
  </cols>
  <sheetData>
    <row r="1" spans="1:5" ht="21.75" customHeight="1" x14ac:dyDescent="0.25">
      <c r="A1" s="33" t="s">
        <v>106</v>
      </c>
      <c r="B1" s="33" t="s">
        <v>107</v>
      </c>
      <c r="C1" s="1"/>
      <c r="D1" s="35" t="s">
        <v>111</v>
      </c>
    </row>
    <row r="2" spans="1:5" x14ac:dyDescent="0.25">
      <c r="A2" s="5" t="s">
        <v>108</v>
      </c>
      <c r="B2" s="26">
        <v>25</v>
      </c>
      <c r="D2" s="26">
        <f>SUMIF(A2:A9,"Teclado",B2:B9)</f>
        <v>75</v>
      </c>
    </row>
    <row r="3" spans="1:5" x14ac:dyDescent="0.25">
      <c r="A3" s="5" t="s">
        <v>109</v>
      </c>
      <c r="B3" s="26">
        <v>15</v>
      </c>
      <c r="D3" s="36" t="s">
        <v>112</v>
      </c>
      <c r="E3" s="34"/>
    </row>
    <row r="4" spans="1:5" x14ac:dyDescent="0.25">
      <c r="A4" s="5" t="s">
        <v>108</v>
      </c>
      <c r="B4" s="26">
        <v>25</v>
      </c>
      <c r="D4" s="26">
        <f>SUMIF(A2:A9,"Mouse",B2:B9)</f>
        <v>30</v>
      </c>
    </row>
    <row r="5" spans="1:5" x14ac:dyDescent="0.25">
      <c r="A5" s="5" t="s">
        <v>110</v>
      </c>
      <c r="B5" s="26">
        <v>400</v>
      </c>
      <c r="D5" s="36" t="s">
        <v>113</v>
      </c>
    </row>
    <row r="6" spans="1:5" x14ac:dyDescent="0.25">
      <c r="A6" s="5" t="s">
        <v>109</v>
      </c>
      <c r="B6" s="26">
        <v>15</v>
      </c>
      <c r="D6" s="26">
        <f>SUMIF(A2:A9,"Monitor",B2:B9)</f>
        <v>1200</v>
      </c>
    </row>
    <row r="7" spans="1:5" x14ac:dyDescent="0.25">
      <c r="A7" s="5" t="s">
        <v>110</v>
      </c>
      <c r="B7" s="26">
        <v>400</v>
      </c>
    </row>
    <row r="8" spans="1:5" x14ac:dyDescent="0.25">
      <c r="A8" s="5" t="s">
        <v>108</v>
      </c>
      <c r="B8" s="26">
        <v>25</v>
      </c>
    </row>
    <row r="9" spans="1:5" x14ac:dyDescent="0.25">
      <c r="A9" s="5" t="s">
        <v>110</v>
      </c>
      <c r="B9" s="26">
        <v>400</v>
      </c>
    </row>
    <row r="11" spans="1:5" x14ac:dyDescent="0.25">
      <c r="A11" s="33" t="s">
        <v>114</v>
      </c>
      <c r="B11" s="33" t="s">
        <v>115</v>
      </c>
    </row>
    <row r="12" spans="1:5" x14ac:dyDescent="0.25">
      <c r="A12" s="6" t="s">
        <v>116</v>
      </c>
      <c r="B12" s="20">
        <v>1800</v>
      </c>
    </row>
    <row r="13" spans="1:5" x14ac:dyDescent="0.25">
      <c r="A13" s="6" t="s">
        <v>117</v>
      </c>
      <c r="B13" s="20">
        <v>400</v>
      </c>
    </row>
    <row r="14" spans="1:5" x14ac:dyDescent="0.25">
      <c r="A14" s="6" t="s">
        <v>118</v>
      </c>
      <c r="B14" s="20">
        <v>250</v>
      </c>
    </row>
    <row r="15" spans="1:5" x14ac:dyDescent="0.25">
      <c r="A15" s="6" t="s">
        <v>119</v>
      </c>
      <c r="B15" s="20">
        <v>3500</v>
      </c>
    </row>
    <row r="16" spans="1:5" x14ac:dyDescent="0.25">
      <c r="A16" s="6" t="s">
        <v>120</v>
      </c>
      <c r="B16" s="20">
        <v>2800</v>
      </c>
    </row>
    <row r="17" spans="1:3" x14ac:dyDescent="0.25">
      <c r="A17" s="6" t="s">
        <v>121</v>
      </c>
      <c r="B17" s="20">
        <v>4000</v>
      </c>
    </row>
    <row r="18" spans="1:3" x14ac:dyDescent="0.25">
      <c r="A18" s="6" t="s">
        <v>122</v>
      </c>
      <c r="B18" s="20">
        <v>800</v>
      </c>
    </row>
    <row r="19" spans="1:3" x14ac:dyDescent="0.25">
      <c r="A19" s="5" t="s">
        <v>123</v>
      </c>
      <c r="B19" s="26">
        <f>SUMIF(B12:B18,"&gt;1000")</f>
        <v>12100</v>
      </c>
    </row>
    <row r="21" spans="1:3" x14ac:dyDescent="0.25">
      <c r="A21" s="33" t="s">
        <v>114</v>
      </c>
      <c r="B21" s="37" t="s">
        <v>124</v>
      </c>
      <c r="C21" s="37" t="s">
        <v>125</v>
      </c>
    </row>
    <row r="22" spans="1:3" x14ac:dyDescent="0.25">
      <c r="A22" s="16" t="s">
        <v>126</v>
      </c>
      <c r="B22" s="5" t="s">
        <v>130</v>
      </c>
      <c r="C22" s="26">
        <v>7500</v>
      </c>
    </row>
    <row r="23" spans="1:3" x14ac:dyDescent="0.25">
      <c r="A23" s="16" t="s">
        <v>127</v>
      </c>
      <c r="B23" s="5" t="s">
        <v>131</v>
      </c>
      <c r="C23" s="26">
        <v>3450</v>
      </c>
    </row>
    <row r="24" spans="1:3" x14ac:dyDescent="0.25">
      <c r="A24" s="16" t="s">
        <v>128</v>
      </c>
      <c r="B24" s="5" t="s">
        <v>132</v>
      </c>
      <c r="C24" s="26">
        <v>467</v>
      </c>
    </row>
    <row r="25" spans="1:3" x14ac:dyDescent="0.25">
      <c r="A25" s="16" t="s">
        <v>129</v>
      </c>
      <c r="B25" s="5" t="s">
        <v>130</v>
      </c>
      <c r="C25" s="26">
        <v>1233</v>
      </c>
    </row>
    <row r="27" spans="1:3" x14ac:dyDescent="0.25">
      <c r="A27" s="168" t="s">
        <v>133</v>
      </c>
      <c r="B27" s="168"/>
      <c r="C27" s="6">
        <f>COUNTIF(B22:B25,"Alimenticio")</f>
        <v>2</v>
      </c>
    </row>
    <row r="28" spans="1:3" x14ac:dyDescent="0.25">
      <c r="A28" s="168" t="s">
        <v>134</v>
      </c>
      <c r="B28" s="168"/>
      <c r="C28" s="6">
        <f>COUNTIF(B22:B25,"Higiene")</f>
        <v>1</v>
      </c>
    </row>
    <row r="30" spans="1:3" x14ac:dyDescent="0.25">
      <c r="A30" s="169" t="s">
        <v>135</v>
      </c>
      <c r="B30" s="169"/>
      <c r="C30" s="26">
        <f>SUMIF(B22:B25,"Alimenticio",C22:C25)</f>
        <v>8733</v>
      </c>
    </row>
    <row r="31" spans="1:3" x14ac:dyDescent="0.25">
      <c r="A31" s="169" t="s">
        <v>136</v>
      </c>
      <c r="B31" s="169"/>
      <c r="C31" s="26">
        <f>SUMIF(B22:B25,"Vestuário",C22:C25)</f>
        <v>467</v>
      </c>
    </row>
    <row r="33" spans="1:7" x14ac:dyDescent="0.25">
      <c r="A33" s="40" t="s">
        <v>137</v>
      </c>
      <c r="B33" s="40" t="s">
        <v>138</v>
      </c>
      <c r="C33" s="40" t="s">
        <v>139</v>
      </c>
    </row>
    <row r="34" spans="1:7" x14ac:dyDescent="0.25">
      <c r="A34" s="42" t="s">
        <v>140</v>
      </c>
      <c r="B34" s="43">
        <v>1250</v>
      </c>
      <c r="C34" s="43">
        <v>700</v>
      </c>
    </row>
    <row r="35" spans="1:7" x14ac:dyDescent="0.25">
      <c r="A35" s="44" t="s">
        <v>141</v>
      </c>
      <c r="B35" s="45">
        <v>100</v>
      </c>
      <c r="C35" s="45">
        <v>850</v>
      </c>
    </row>
    <row r="36" spans="1:7" x14ac:dyDescent="0.25">
      <c r="A36" s="42" t="s">
        <v>142</v>
      </c>
      <c r="B36" s="43">
        <v>180</v>
      </c>
      <c r="C36" s="43">
        <v>90</v>
      </c>
    </row>
    <row r="37" spans="1:7" x14ac:dyDescent="0.25">
      <c r="A37" s="44" t="s">
        <v>143</v>
      </c>
      <c r="B37" s="45">
        <v>800</v>
      </c>
      <c r="C37" s="45">
        <v>750</v>
      </c>
    </row>
    <row r="38" spans="1:7" x14ac:dyDescent="0.25">
      <c r="A38" s="42" t="s">
        <v>140</v>
      </c>
      <c r="B38" s="43">
        <v>60</v>
      </c>
      <c r="C38" s="43">
        <v>415</v>
      </c>
    </row>
    <row r="39" spans="1:7" x14ac:dyDescent="0.25">
      <c r="A39" s="44" t="s">
        <v>143</v>
      </c>
      <c r="B39" s="45">
        <v>490</v>
      </c>
      <c r="C39" s="45">
        <v>640</v>
      </c>
    </row>
    <row r="40" spans="1:7" x14ac:dyDescent="0.25">
      <c r="A40" s="42" t="s">
        <v>142</v>
      </c>
      <c r="B40" s="43">
        <v>190</v>
      </c>
      <c r="C40" s="43">
        <v>400</v>
      </c>
    </row>
    <row r="41" spans="1:7" x14ac:dyDescent="0.25">
      <c r="A41" s="44" t="s">
        <v>141</v>
      </c>
      <c r="B41" s="45">
        <v>230</v>
      </c>
      <c r="C41" s="45">
        <v>210</v>
      </c>
    </row>
    <row r="43" spans="1:7" x14ac:dyDescent="0.25">
      <c r="A43" s="41" t="s">
        <v>137</v>
      </c>
      <c r="B43" s="41" t="s">
        <v>144</v>
      </c>
      <c r="C43" s="41" t="s">
        <v>145</v>
      </c>
      <c r="D43" s="41" t="s">
        <v>146</v>
      </c>
      <c r="E43" s="41" t="s">
        <v>147</v>
      </c>
      <c r="F43" s="41" t="s">
        <v>148</v>
      </c>
      <c r="G43" s="41" t="s">
        <v>149</v>
      </c>
    </row>
    <row r="44" spans="1:7" x14ac:dyDescent="0.25">
      <c r="A44" s="5" t="str">
        <f>A34</f>
        <v>Alfredo</v>
      </c>
      <c r="B44" s="26">
        <f>SUMIF(A34:A41,"Alfredo",B34:B41)</f>
        <v>1310</v>
      </c>
      <c r="C44" s="26">
        <f>SUMIF(A34:A41,"Alfredo",C34:C41)</f>
        <v>1115</v>
      </c>
      <c r="D44" s="27">
        <f>SUM(B44,C44)</f>
        <v>2425</v>
      </c>
      <c r="E44" s="27">
        <f>AVERAGE(B44,C44)</f>
        <v>1212.5</v>
      </c>
      <c r="F44" s="14" t="str">
        <f>IF(E44&lt;1000,"Abaixo da Meta","Acima da Meta")</f>
        <v>Acima da Meta</v>
      </c>
      <c r="G44" s="14" t="str">
        <f>IF(F44="Abaixo da Meta","Demitir","Contratar")</f>
        <v>Contratar</v>
      </c>
    </row>
    <row r="45" spans="1:7" x14ac:dyDescent="0.25">
      <c r="A45" s="5" t="str">
        <f>A35</f>
        <v>Solange</v>
      </c>
      <c r="B45" s="26">
        <f>SUMIF(A34:A41,"Solange",B34:B41)</f>
        <v>330</v>
      </c>
      <c r="C45" s="26">
        <f>SUMIF(A35:A42,"Solange",C35:C42)</f>
        <v>1060</v>
      </c>
      <c r="D45" s="27">
        <f t="shared" ref="D45:D47" si="0">SUM(B45,C45)</f>
        <v>1390</v>
      </c>
      <c r="E45" s="27">
        <f t="shared" ref="E45:E47" si="1">AVERAGE(B45,C45)</f>
        <v>695</v>
      </c>
      <c r="F45" s="14" t="str">
        <f t="shared" ref="F45:F47" si="2">IF(E45&lt;1000,"Abaixo da Meta","Acima da Meta")</f>
        <v>Abaixo da Meta</v>
      </c>
      <c r="G45" s="14" t="str">
        <f>IF(F45="Abaixo da Meta","Demitir","Contratar")</f>
        <v>Demitir</v>
      </c>
    </row>
    <row r="46" spans="1:7" x14ac:dyDescent="0.25">
      <c r="A46" s="5" t="str">
        <f>A36</f>
        <v>Mathias</v>
      </c>
      <c r="B46" s="26">
        <f>SUMIF(A34:A41,"Mathias",B34:B41)</f>
        <v>370</v>
      </c>
      <c r="C46" s="26">
        <f>SUMIF(A36:A43,"Mathias",C36:C43)</f>
        <v>490</v>
      </c>
      <c r="D46" s="27">
        <f t="shared" si="0"/>
        <v>860</v>
      </c>
      <c r="E46" s="27">
        <f t="shared" si="1"/>
        <v>430</v>
      </c>
      <c r="F46" s="14" t="str">
        <f t="shared" si="2"/>
        <v>Abaixo da Meta</v>
      </c>
      <c r="G46" s="14" t="str">
        <f>IF(F46="Abaixo da Meta","Demitir","Contratar")</f>
        <v>Demitir</v>
      </c>
    </row>
    <row r="47" spans="1:7" x14ac:dyDescent="0.25">
      <c r="A47" s="5" t="str">
        <f>A37</f>
        <v>Marcos</v>
      </c>
      <c r="B47" s="26">
        <f>SUMIF(A34:A41,"Marcos",B34:B41)</f>
        <v>1290</v>
      </c>
      <c r="C47" s="26">
        <f>SUMIF(A37:A44,"Marcos",C37:C44)</f>
        <v>1390</v>
      </c>
      <c r="D47" s="27">
        <f t="shared" si="0"/>
        <v>2680</v>
      </c>
      <c r="E47" s="27">
        <f t="shared" si="1"/>
        <v>1340</v>
      </c>
      <c r="F47" s="14" t="str">
        <f t="shared" si="2"/>
        <v>Acima da Meta</v>
      </c>
      <c r="G47" s="14" t="str">
        <f>IF(F47="Abaixo da Meta","Demitir","Contratar")</f>
        <v>Contratar</v>
      </c>
    </row>
    <row r="49" spans="1:8" ht="33.75" customHeight="1" x14ac:dyDescent="0.25">
      <c r="A49" s="170" t="s">
        <v>170</v>
      </c>
      <c r="B49" s="170"/>
      <c r="C49" s="170"/>
      <c r="D49" s="170"/>
      <c r="E49" s="170"/>
      <c r="F49" s="170"/>
      <c r="G49" s="170"/>
      <c r="H49" s="170"/>
    </row>
    <row r="50" spans="1:8" x14ac:dyDescent="0.25">
      <c r="A50" s="46" t="s">
        <v>150</v>
      </c>
      <c r="B50" s="46" t="s">
        <v>151</v>
      </c>
      <c r="C50" s="46" t="s">
        <v>152</v>
      </c>
      <c r="D50" s="46" t="s">
        <v>153</v>
      </c>
      <c r="E50" s="46" t="s">
        <v>154</v>
      </c>
      <c r="F50" s="46" t="s">
        <v>155</v>
      </c>
      <c r="G50" s="46" t="s">
        <v>61</v>
      </c>
      <c r="H50" s="46" t="s">
        <v>156</v>
      </c>
    </row>
    <row r="51" spans="1:8" x14ac:dyDescent="0.25">
      <c r="A51" s="6" t="s">
        <v>157</v>
      </c>
      <c r="B51" s="26">
        <v>2.2000000000000002</v>
      </c>
      <c r="C51" s="26">
        <v>2.9</v>
      </c>
      <c r="D51" s="26">
        <v>3</v>
      </c>
      <c r="E51" s="27">
        <f>MIN(B51:D51)</f>
        <v>2.2000000000000002</v>
      </c>
      <c r="F51" s="18" t="str">
        <f>IF(E51=B51,"Carrefour",IF(E51=C51,"Barateiro",IF(E51=D51,"Extra")))</f>
        <v>Carrefour</v>
      </c>
      <c r="G51" s="14">
        <v>15</v>
      </c>
      <c r="H51" s="47">
        <f>E51*G51</f>
        <v>33</v>
      </c>
    </row>
    <row r="52" spans="1:8" x14ac:dyDescent="0.25">
      <c r="A52" s="6" t="s">
        <v>158</v>
      </c>
      <c r="B52" s="26">
        <v>1.3</v>
      </c>
      <c r="C52" s="26">
        <v>1.2</v>
      </c>
      <c r="D52" s="26">
        <v>2.5</v>
      </c>
      <c r="E52" s="27">
        <f t="shared" ref="E52:E59" si="3">MIN(B52:D52)</f>
        <v>1.2</v>
      </c>
      <c r="F52" s="18" t="str">
        <f t="shared" ref="F52:F59" si="4">IF(E52=B52,"Carrefour",IF(E52=C52,"Barateiro",IF(E52=D52,"Extra")))</f>
        <v>Barateiro</v>
      </c>
      <c r="G52" s="14">
        <v>8</v>
      </c>
      <c r="H52" s="47">
        <f t="shared" ref="H52:H59" si="5">E52*G52</f>
        <v>9.6</v>
      </c>
    </row>
    <row r="53" spans="1:8" x14ac:dyDescent="0.25">
      <c r="A53" s="6" t="s">
        <v>159</v>
      </c>
      <c r="B53" s="26">
        <v>4.5</v>
      </c>
      <c r="C53" s="26">
        <v>3.8</v>
      </c>
      <c r="D53" s="26">
        <v>4.8</v>
      </c>
      <c r="E53" s="27">
        <f t="shared" si="3"/>
        <v>3.8</v>
      </c>
      <c r="F53" s="18" t="str">
        <f t="shared" si="4"/>
        <v>Barateiro</v>
      </c>
      <c r="G53" s="14">
        <v>4</v>
      </c>
      <c r="H53" s="47">
        <f t="shared" si="5"/>
        <v>15.2</v>
      </c>
    </row>
    <row r="54" spans="1:8" x14ac:dyDescent="0.25">
      <c r="A54" s="6" t="s">
        <v>160</v>
      </c>
      <c r="B54" s="26">
        <v>9.8000000000000007</v>
      </c>
      <c r="C54" s="26">
        <v>10</v>
      </c>
      <c r="D54" s="26">
        <v>7.4</v>
      </c>
      <c r="E54" s="27">
        <f t="shared" si="3"/>
        <v>7.4</v>
      </c>
      <c r="F54" s="18" t="str">
        <f t="shared" si="4"/>
        <v>Extra</v>
      </c>
      <c r="G54" s="14">
        <v>2</v>
      </c>
      <c r="H54" s="47">
        <f t="shared" si="5"/>
        <v>14.8</v>
      </c>
    </row>
    <row r="55" spans="1:8" x14ac:dyDescent="0.25">
      <c r="A55" s="6" t="s">
        <v>161</v>
      </c>
      <c r="B55" s="26">
        <v>3.2</v>
      </c>
      <c r="C55" s="26">
        <v>3.6</v>
      </c>
      <c r="D55" s="26">
        <v>3.5</v>
      </c>
      <c r="E55" s="27">
        <f t="shared" si="3"/>
        <v>3.2</v>
      </c>
      <c r="F55" s="18" t="str">
        <f t="shared" si="4"/>
        <v>Carrefour</v>
      </c>
      <c r="G55" s="14">
        <v>3</v>
      </c>
      <c r="H55" s="47">
        <f t="shared" si="5"/>
        <v>9.6000000000000014</v>
      </c>
    </row>
    <row r="56" spans="1:8" x14ac:dyDescent="0.25">
      <c r="A56" s="6" t="s">
        <v>162</v>
      </c>
      <c r="B56" s="26">
        <v>2.75</v>
      </c>
      <c r="C56" s="26">
        <v>1.75</v>
      </c>
      <c r="D56" s="26">
        <v>1.75</v>
      </c>
      <c r="E56" s="27">
        <f t="shared" si="3"/>
        <v>1.75</v>
      </c>
      <c r="F56" s="18" t="str">
        <f t="shared" si="4"/>
        <v>Barateiro</v>
      </c>
      <c r="G56" s="14">
        <v>5</v>
      </c>
      <c r="H56" s="47">
        <f t="shared" si="5"/>
        <v>8.75</v>
      </c>
    </row>
    <row r="57" spans="1:8" x14ac:dyDescent="0.25">
      <c r="A57" s="6" t="s">
        <v>163</v>
      </c>
      <c r="B57" s="26">
        <v>3</v>
      </c>
      <c r="C57" s="26">
        <v>2.7</v>
      </c>
      <c r="D57" s="26">
        <v>2.7</v>
      </c>
      <c r="E57" s="27">
        <f t="shared" si="3"/>
        <v>2.7</v>
      </c>
      <c r="F57" s="18" t="str">
        <f t="shared" si="4"/>
        <v>Barateiro</v>
      </c>
      <c r="G57" s="14">
        <v>6</v>
      </c>
      <c r="H57" s="47">
        <f t="shared" si="5"/>
        <v>16.200000000000003</v>
      </c>
    </row>
    <row r="58" spans="1:8" x14ac:dyDescent="0.25">
      <c r="A58" s="6" t="s">
        <v>164</v>
      </c>
      <c r="B58" s="26">
        <v>1.65</v>
      </c>
      <c r="C58" s="26">
        <v>1.55</v>
      </c>
      <c r="D58" s="26">
        <v>1.55</v>
      </c>
      <c r="E58" s="27">
        <f t="shared" si="3"/>
        <v>1.55</v>
      </c>
      <c r="F58" s="18" t="str">
        <f t="shared" si="4"/>
        <v>Barateiro</v>
      </c>
      <c r="G58" s="14">
        <v>6</v>
      </c>
      <c r="H58" s="47">
        <f t="shared" si="5"/>
        <v>9.3000000000000007</v>
      </c>
    </row>
    <row r="59" spans="1:8" x14ac:dyDescent="0.25">
      <c r="A59" s="6" t="s">
        <v>165</v>
      </c>
      <c r="B59" s="26">
        <v>1.5</v>
      </c>
      <c r="C59" s="26">
        <v>1.4</v>
      </c>
      <c r="D59" s="26">
        <v>1.95</v>
      </c>
      <c r="E59" s="27">
        <f t="shared" si="3"/>
        <v>1.4</v>
      </c>
      <c r="F59" s="18" t="str">
        <f t="shared" si="4"/>
        <v>Barateiro</v>
      </c>
      <c r="G59" s="14">
        <v>9</v>
      </c>
      <c r="H59" s="47">
        <f t="shared" si="5"/>
        <v>12.6</v>
      </c>
    </row>
    <row r="60" spans="1:8" x14ac:dyDescent="0.25">
      <c r="A60" s="48" t="s">
        <v>166</v>
      </c>
      <c r="B60" s="49">
        <f>SUM(B51:B59)</f>
        <v>29.9</v>
      </c>
      <c r="C60" s="49">
        <f t="shared" ref="C60:E60" si="6">SUM(C51:C59)</f>
        <v>28.9</v>
      </c>
      <c r="D60" s="49">
        <f t="shared" si="6"/>
        <v>29.150000000000002</v>
      </c>
      <c r="E60" s="50">
        <f t="shared" si="6"/>
        <v>25.2</v>
      </c>
      <c r="H60" s="47">
        <f>SUM(H51:H59)</f>
        <v>129.04999999999998</v>
      </c>
    </row>
    <row r="62" spans="1:8" x14ac:dyDescent="0.25">
      <c r="A62" s="167" t="s">
        <v>167</v>
      </c>
      <c r="B62" s="167"/>
      <c r="C62" s="51">
        <f>SUMIF(F51:F59,"Carrefour",H51:H59)</f>
        <v>42.6</v>
      </c>
    </row>
    <row r="63" spans="1:8" x14ac:dyDescent="0.25">
      <c r="A63" s="167" t="s">
        <v>168</v>
      </c>
      <c r="B63" s="167"/>
      <c r="C63" s="51">
        <f>SUMIF(F51:F59,"Barateiro",H51:H59)</f>
        <v>71.649999999999991</v>
      </c>
    </row>
    <row r="64" spans="1:8" x14ac:dyDescent="0.25">
      <c r="A64" s="167" t="s">
        <v>169</v>
      </c>
      <c r="B64" s="167"/>
      <c r="C64" s="51">
        <f>SUMIF(F51:F59,"Extra",H51:H59)</f>
        <v>14.8</v>
      </c>
    </row>
  </sheetData>
  <mergeCells count="8">
    <mergeCell ref="A62:B62"/>
    <mergeCell ref="A63:B63"/>
    <mergeCell ref="A64:B64"/>
    <mergeCell ref="A27:B27"/>
    <mergeCell ref="A28:B28"/>
    <mergeCell ref="A30:B30"/>
    <mergeCell ref="A31:B31"/>
    <mergeCell ref="A49:H49"/>
  </mergeCells>
  <conditionalFormatting sqref="G44:G47">
    <cfRule type="cellIs" dxfId="16" priority="1" operator="equal">
      <formula>"contratar"</formula>
    </cfRule>
    <cfRule type="cellIs" dxfId="15" priority="2" operator="equal">
      <formula>"demitir"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A1:H34"/>
  <sheetViews>
    <sheetView topLeftCell="A19" workbookViewId="0">
      <selection activeCell="F26" sqref="F26"/>
    </sheetView>
  </sheetViews>
  <sheetFormatPr defaultRowHeight="15" x14ac:dyDescent="0.25"/>
  <cols>
    <col min="1" max="1" width="14.42578125" customWidth="1"/>
    <col min="3" max="3" width="13.28515625" bestFit="1" customWidth="1"/>
    <col min="5" max="5" width="13.28515625" bestFit="1" customWidth="1"/>
    <col min="6" max="6" width="18.42578125" customWidth="1"/>
    <col min="7" max="7" width="12.140625" customWidth="1"/>
    <col min="8" max="8" width="9.140625" customWidth="1"/>
  </cols>
  <sheetData>
    <row r="1" spans="1:8" ht="24.75" customHeight="1" x14ac:dyDescent="0.25">
      <c r="A1" s="173" t="s">
        <v>171</v>
      </c>
      <c r="B1" s="173"/>
      <c r="C1" s="173"/>
      <c r="D1" s="173"/>
      <c r="E1" s="173"/>
      <c r="F1" s="173"/>
      <c r="G1" s="173"/>
    </row>
    <row r="2" spans="1:8" x14ac:dyDescent="0.25">
      <c r="A2" s="174" t="s">
        <v>172</v>
      </c>
      <c r="B2" s="174"/>
      <c r="C2" s="174"/>
      <c r="D2" s="174"/>
      <c r="E2" s="174"/>
      <c r="F2" s="174"/>
      <c r="G2" s="174"/>
    </row>
    <row r="3" spans="1:8" ht="35.25" customHeight="1" x14ac:dyDescent="0.25">
      <c r="A3" s="55" t="s">
        <v>173</v>
      </c>
      <c r="B3" s="55" t="s">
        <v>174</v>
      </c>
      <c r="C3" s="55" t="s">
        <v>175</v>
      </c>
      <c r="D3" s="55" t="s">
        <v>176</v>
      </c>
      <c r="E3" s="55" t="s">
        <v>177</v>
      </c>
      <c r="F3" s="55" t="s">
        <v>178</v>
      </c>
      <c r="G3" s="56" t="s">
        <v>179</v>
      </c>
      <c r="H3" s="54"/>
    </row>
    <row r="4" spans="1:8" x14ac:dyDescent="0.25">
      <c r="A4" s="6" t="s">
        <v>180</v>
      </c>
      <c r="B4" s="6">
        <v>33</v>
      </c>
      <c r="C4" s="6">
        <v>1.85</v>
      </c>
      <c r="D4" s="6">
        <v>95</v>
      </c>
      <c r="E4" s="57">
        <f>D4/C4^2</f>
        <v>27.757487216946675</v>
      </c>
      <c r="F4" s="6" t="str">
        <f t="shared" ref="F4:F10" si="0">VLOOKUP(E4,Imc,2)</f>
        <v>Sobrepeso</v>
      </c>
      <c r="G4" s="6" t="str">
        <f>IF(E4&gt;=25,"Sim","Não")</f>
        <v>Sim</v>
      </c>
    </row>
    <row r="5" spans="1:8" x14ac:dyDescent="0.25">
      <c r="A5" s="6" t="s">
        <v>181</v>
      </c>
      <c r="B5" s="6">
        <v>42</v>
      </c>
      <c r="C5" s="6">
        <v>1.8</v>
      </c>
      <c r="D5" s="6">
        <v>80</v>
      </c>
      <c r="E5" s="57">
        <f t="shared" ref="E5:E10" si="1">D5/C5^2</f>
        <v>24.691358024691358</v>
      </c>
      <c r="F5" s="6" t="str">
        <f t="shared" si="0"/>
        <v>Normal</v>
      </c>
      <c r="G5" s="6" t="str">
        <f t="shared" ref="G5:G10" si="2">IF(E5&gt;=25,"Sim","Não")</f>
        <v>Não</v>
      </c>
    </row>
    <row r="6" spans="1:8" x14ac:dyDescent="0.25">
      <c r="A6" s="6" t="s">
        <v>182</v>
      </c>
      <c r="B6" s="6">
        <v>83</v>
      </c>
      <c r="C6" s="6">
        <v>1.9</v>
      </c>
      <c r="D6" s="6">
        <v>52</v>
      </c>
      <c r="E6" s="57">
        <f t="shared" si="1"/>
        <v>14.40443213296399</v>
      </c>
      <c r="F6" s="6" t="str">
        <f t="shared" si="0"/>
        <v>Muito Magro</v>
      </c>
      <c r="G6" s="6" t="str">
        <f t="shared" si="2"/>
        <v>Não</v>
      </c>
    </row>
    <row r="7" spans="1:8" x14ac:dyDescent="0.25">
      <c r="A7" s="6" t="s">
        <v>183</v>
      </c>
      <c r="B7" s="6">
        <v>64</v>
      </c>
      <c r="C7" s="6">
        <v>1.49</v>
      </c>
      <c r="D7" s="6">
        <v>66</v>
      </c>
      <c r="E7" s="57">
        <f t="shared" si="1"/>
        <v>29.728390613035451</v>
      </c>
      <c r="F7" s="6" t="str">
        <f t="shared" si="0"/>
        <v>Sobrepeso</v>
      </c>
      <c r="G7" s="6" t="str">
        <f t="shared" si="2"/>
        <v>Sim</v>
      </c>
    </row>
    <row r="8" spans="1:8" x14ac:dyDescent="0.25">
      <c r="A8" s="6" t="s">
        <v>184</v>
      </c>
      <c r="B8" s="6">
        <v>58</v>
      </c>
      <c r="C8" s="6">
        <v>1.55</v>
      </c>
      <c r="D8" s="6">
        <v>120</v>
      </c>
      <c r="E8" s="57">
        <f t="shared" si="1"/>
        <v>49.947970863683658</v>
      </c>
      <c r="F8" s="6" t="str">
        <f t="shared" si="0"/>
        <v>Obesidade Grave</v>
      </c>
      <c r="G8" s="6" t="str">
        <f t="shared" si="2"/>
        <v>Sim</v>
      </c>
    </row>
    <row r="9" spans="1:8" x14ac:dyDescent="0.25">
      <c r="A9" s="6" t="s">
        <v>185</v>
      </c>
      <c r="B9" s="6">
        <v>71</v>
      </c>
      <c r="C9" s="6">
        <v>1.77</v>
      </c>
      <c r="D9" s="6">
        <v>82</v>
      </c>
      <c r="E9" s="57">
        <f t="shared" si="1"/>
        <v>26.173832551310287</v>
      </c>
      <c r="F9" s="6" t="str">
        <f t="shared" si="0"/>
        <v>Sobrepeso</v>
      </c>
      <c r="G9" s="6" t="str">
        <f t="shared" si="2"/>
        <v>Sim</v>
      </c>
    </row>
    <row r="10" spans="1:8" x14ac:dyDescent="0.25">
      <c r="A10" s="6" t="s">
        <v>186</v>
      </c>
      <c r="B10" s="6">
        <v>19</v>
      </c>
      <c r="C10" s="6">
        <v>1.7</v>
      </c>
      <c r="D10" s="6">
        <v>100</v>
      </c>
      <c r="E10" s="57">
        <f t="shared" si="1"/>
        <v>34.602076124567475</v>
      </c>
      <c r="F10" s="6" t="str">
        <f t="shared" si="0"/>
        <v>Obeso</v>
      </c>
      <c r="G10" s="6" t="str">
        <f t="shared" si="2"/>
        <v>Sim</v>
      </c>
    </row>
    <row r="12" spans="1:8" x14ac:dyDescent="0.25">
      <c r="A12" s="59" t="s">
        <v>177</v>
      </c>
      <c r="B12" s="175" t="s">
        <v>178</v>
      </c>
      <c r="C12" s="175"/>
    </row>
    <row r="13" spans="1:8" x14ac:dyDescent="0.25">
      <c r="A13" s="6">
        <v>0</v>
      </c>
      <c r="B13" s="171" t="s">
        <v>187</v>
      </c>
      <c r="C13" s="171"/>
    </row>
    <row r="14" spans="1:8" x14ac:dyDescent="0.25">
      <c r="A14" s="6">
        <v>19</v>
      </c>
      <c r="B14" s="171" t="s">
        <v>188</v>
      </c>
      <c r="C14" s="171"/>
    </row>
    <row r="15" spans="1:8" x14ac:dyDescent="0.25">
      <c r="A15" s="6">
        <v>25</v>
      </c>
      <c r="B15" s="171" t="s">
        <v>189</v>
      </c>
      <c r="C15" s="171"/>
    </row>
    <row r="16" spans="1:8" x14ac:dyDescent="0.25">
      <c r="A16" s="6">
        <v>30</v>
      </c>
      <c r="B16" s="171" t="s">
        <v>190</v>
      </c>
      <c r="C16" s="171"/>
    </row>
    <row r="17" spans="1:5" x14ac:dyDescent="0.25">
      <c r="A17" s="6">
        <v>40</v>
      </c>
      <c r="B17" s="171" t="s">
        <v>191</v>
      </c>
      <c r="C17" s="171"/>
    </row>
    <row r="20" spans="1:5" ht="31.5" customHeight="1" x14ac:dyDescent="0.25">
      <c r="A20" s="172" t="s">
        <v>192</v>
      </c>
      <c r="B20" s="172"/>
      <c r="C20" s="172"/>
      <c r="D20" s="172"/>
      <c r="E20" s="172"/>
    </row>
    <row r="21" spans="1:5" x14ac:dyDescent="0.25">
      <c r="A21" s="38" t="s">
        <v>193</v>
      </c>
      <c r="B21" s="38" t="s">
        <v>194</v>
      </c>
      <c r="C21" s="38" t="s">
        <v>195</v>
      </c>
      <c r="D21" s="38" t="s">
        <v>196</v>
      </c>
      <c r="E21" s="38" t="s">
        <v>39</v>
      </c>
    </row>
    <row r="22" spans="1:5" x14ac:dyDescent="0.25">
      <c r="A22" s="6" t="s">
        <v>197</v>
      </c>
      <c r="B22" s="6" t="s">
        <v>9</v>
      </c>
      <c r="C22" s="15">
        <v>12500</v>
      </c>
      <c r="D22" s="65">
        <f>VLOOKUP(C22,IF(B22="B",TabelaB,TabelaA),2)</f>
        <v>1.7500000000000002E-2</v>
      </c>
      <c r="E22" s="66">
        <f>C22+(D22*C22)</f>
        <v>12718.75</v>
      </c>
    </row>
    <row r="23" spans="1:5" x14ac:dyDescent="0.25">
      <c r="A23" s="6" t="s">
        <v>180</v>
      </c>
      <c r="B23" s="6" t="s">
        <v>9</v>
      </c>
      <c r="C23" s="15">
        <v>14350</v>
      </c>
      <c r="D23" s="65">
        <f>VLOOKUP(C23,IF(B23="B",TabelaB,TabelaA),2)</f>
        <v>1.7500000000000002E-2</v>
      </c>
      <c r="E23" s="66">
        <f t="shared" ref="E23:E26" si="3">C23+(D23*C23)</f>
        <v>14601.125</v>
      </c>
    </row>
    <row r="24" spans="1:5" x14ac:dyDescent="0.25">
      <c r="A24" s="6" t="s">
        <v>83</v>
      </c>
      <c r="B24" s="6" t="s">
        <v>8</v>
      </c>
      <c r="C24" s="15">
        <v>24620</v>
      </c>
      <c r="D24" s="65">
        <f>VLOOKUP(C24,IF(B24="B",TabelaB,TabelaA),2)</f>
        <v>2.5000000000000001E-2</v>
      </c>
      <c r="E24" s="66">
        <f t="shared" si="3"/>
        <v>25235.5</v>
      </c>
    </row>
    <row r="25" spans="1:5" x14ac:dyDescent="0.25">
      <c r="A25" s="6" t="s">
        <v>198</v>
      </c>
      <c r="B25" s="6" t="s">
        <v>9</v>
      </c>
      <c r="C25" s="15">
        <v>16750</v>
      </c>
      <c r="D25" s="65">
        <f>VLOOKUP(C25,IF(B25="B",TabelaB,TabelaA),2)</f>
        <v>0.02</v>
      </c>
      <c r="E25" s="66">
        <f t="shared" si="3"/>
        <v>17085</v>
      </c>
    </row>
    <row r="26" spans="1:5" x14ac:dyDescent="0.25">
      <c r="A26" s="6" t="s">
        <v>199</v>
      </c>
      <c r="B26" s="6" t="s">
        <v>8</v>
      </c>
      <c r="C26" s="15">
        <v>22358</v>
      </c>
      <c r="D26" s="65">
        <f>VLOOKUP(C26,IF(B26="B",TabelaB,TabelaA),2)</f>
        <v>2.5000000000000001E-2</v>
      </c>
      <c r="E26" s="66">
        <f t="shared" si="3"/>
        <v>22916.95</v>
      </c>
    </row>
    <row r="29" spans="1:5" x14ac:dyDescent="0.25">
      <c r="A29" s="63" t="s">
        <v>200</v>
      </c>
      <c r="B29" s="63" t="s">
        <v>201</v>
      </c>
      <c r="C29" s="64" t="s">
        <v>202</v>
      </c>
      <c r="D29" s="64" t="s">
        <v>201</v>
      </c>
    </row>
    <row r="30" spans="1:5" x14ac:dyDescent="0.25">
      <c r="A30" s="26">
        <v>5000</v>
      </c>
      <c r="B30" s="62">
        <v>1.4999999999999999E-2</v>
      </c>
      <c r="C30" s="26">
        <v>5000</v>
      </c>
      <c r="D30" s="62">
        <v>1.4999999999999999E-2</v>
      </c>
    </row>
    <row r="31" spans="1:5" x14ac:dyDescent="0.25">
      <c r="A31" s="26">
        <v>1000</v>
      </c>
      <c r="B31" s="62">
        <v>1.7500000000000002E-2</v>
      </c>
      <c r="C31" s="26">
        <v>1000</v>
      </c>
      <c r="D31" s="62">
        <v>1.7500000000000002E-2</v>
      </c>
    </row>
    <row r="32" spans="1:5" x14ac:dyDescent="0.25">
      <c r="A32" s="26">
        <v>15000</v>
      </c>
      <c r="B32" s="61">
        <v>0.02</v>
      </c>
      <c r="C32" s="26">
        <v>15000</v>
      </c>
      <c r="D32" s="61">
        <v>0.02</v>
      </c>
    </row>
    <row r="33" spans="1:4" x14ac:dyDescent="0.25">
      <c r="A33" s="26">
        <v>20000</v>
      </c>
      <c r="B33" s="62">
        <v>2.5000000000000001E-2</v>
      </c>
      <c r="C33" s="26">
        <v>20000</v>
      </c>
      <c r="D33" s="62">
        <v>2.5000000000000001E-2</v>
      </c>
    </row>
    <row r="34" spans="1:4" x14ac:dyDescent="0.25">
      <c r="A34" s="26">
        <v>25000</v>
      </c>
      <c r="B34" s="62">
        <v>2.75E-2</v>
      </c>
      <c r="C34" s="26">
        <v>25000</v>
      </c>
      <c r="D34" s="62">
        <v>2.75E-2</v>
      </c>
    </row>
  </sheetData>
  <mergeCells count="9">
    <mergeCell ref="B15:C15"/>
    <mergeCell ref="B16:C16"/>
    <mergeCell ref="B17:C17"/>
    <mergeCell ref="A20:E20"/>
    <mergeCell ref="A1:G1"/>
    <mergeCell ref="A2:G2"/>
    <mergeCell ref="B12:C12"/>
    <mergeCell ref="B13:C13"/>
    <mergeCell ref="B14:C14"/>
  </mergeCells>
  <conditionalFormatting sqref="G4:G10">
    <cfRule type="cellIs" dxfId="14" priority="1" operator="equal">
      <formula>"não"</formula>
    </cfRule>
    <cfRule type="cellIs" dxfId="13" priority="2" operator="equal">
      <formula>"sim"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J36"/>
  <sheetViews>
    <sheetView topLeftCell="A22" workbookViewId="0">
      <selection activeCell="M31" sqref="M31"/>
    </sheetView>
  </sheetViews>
  <sheetFormatPr defaultRowHeight="15" x14ac:dyDescent="0.25"/>
  <cols>
    <col min="1" max="1" width="12.28515625" customWidth="1"/>
    <col min="2" max="2" width="16.28515625" bestFit="1" customWidth="1"/>
    <col min="3" max="3" width="15.28515625" bestFit="1" customWidth="1"/>
    <col min="4" max="4" width="15.42578125" customWidth="1"/>
    <col min="5" max="5" width="13.42578125" bestFit="1" customWidth="1"/>
    <col min="6" max="6" width="17" bestFit="1" customWidth="1"/>
    <col min="7" max="7" width="11.5703125" bestFit="1" customWidth="1"/>
  </cols>
  <sheetData>
    <row r="1" spans="1:6" ht="25.5" customHeight="1" x14ac:dyDescent="0.25">
      <c r="A1" s="183" t="s">
        <v>203</v>
      </c>
      <c r="B1" s="183"/>
      <c r="C1" s="183"/>
      <c r="D1" s="183"/>
      <c r="E1" s="183"/>
      <c r="F1" s="183"/>
    </row>
    <row r="2" spans="1:6" x14ac:dyDescent="0.25">
      <c r="A2" s="181"/>
      <c r="B2" s="181"/>
    </row>
    <row r="3" spans="1:6" x14ac:dyDescent="0.25">
      <c r="A3" s="181"/>
      <c r="B3" s="181"/>
      <c r="C3" s="182" t="s">
        <v>209</v>
      </c>
      <c r="D3" s="182"/>
    </row>
    <row r="4" spans="1:6" x14ac:dyDescent="0.25">
      <c r="A4" s="181"/>
      <c r="B4" s="181"/>
      <c r="C4" s="70" t="s">
        <v>210</v>
      </c>
      <c r="D4" s="70" t="s">
        <v>211</v>
      </c>
    </row>
    <row r="5" spans="1:6" x14ac:dyDescent="0.25">
      <c r="A5" s="181"/>
      <c r="B5" s="181"/>
      <c r="C5" s="69">
        <v>500</v>
      </c>
      <c r="D5" s="69">
        <v>1500</v>
      </c>
    </row>
    <row r="7" spans="1:6" x14ac:dyDescent="0.25">
      <c r="A7" s="7" t="s">
        <v>204</v>
      </c>
      <c r="B7" s="7" t="s">
        <v>205</v>
      </c>
      <c r="C7" s="7" t="s">
        <v>206</v>
      </c>
      <c r="D7" s="7" t="s">
        <v>207</v>
      </c>
      <c r="E7" s="76" t="s">
        <v>208</v>
      </c>
      <c r="F7" s="7" t="s">
        <v>5</v>
      </c>
    </row>
    <row r="8" spans="1:6" x14ac:dyDescent="0.25">
      <c r="A8" s="34"/>
      <c r="B8" s="71" t="s">
        <v>212</v>
      </c>
      <c r="C8" s="38" t="s">
        <v>10</v>
      </c>
      <c r="D8" s="74">
        <v>1700</v>
      </c>
      <c r="E8" s="75">
        <f>D8</f>
        <v>1700</v>
      </c>
      <c r="F8" s="60" t="str">
        <f>IF(E8&lt;$C$5,"Abaixo do Mínimo",IF(E8&gt;$D$5,"Acima do Máximo","Tudo OK"))</f>
        <v>Acima do Máximo</v>
      </c>
    </row>
    <row r="9" spans="1:6" x14ac:dyDescent="0.25">
      <c r="A9" s="73">
        <v>44594</v>
      </c>
      <c r="B9" s="71" t="s">
        <v>213</v>
      </c>
      <c r="C9" s="38" t="s">
        <v>11</v>
      </c>
      <c r="D9" s="72">
        <v>500</v>
      </c>
      <c r="E9" s="77">
        <f>IF(C9="C",E8+D9,E8-D9)</f>
        <v>1200</v>
      </c>
      <c r="F9" s="60" t="str">
        <f t="shared" ref="F9:F17" si="0">IF(E9&lt;$C$5,"Abaixo do Mínimo",IF(E9&gt;$D$5,"Acima do Máximo","Tudo OK"))</f>
        <v>Tudo OK</v>
      </c>
    </row>
    <row r="10" spans="1:6" x14ac:dyDescent="0.25">
      <c r="A10" s="73">
        <v>44595</v>
      </c>
      <c r="B10" s="71" t="s">
        <v>214</v>
      </c>
      <c r="C10" s="38" t="s">
        <v>10</v>
      </c>
      <c r="D10" s="72">
        <v>200</v>
      </c>
      <c r="E10" s="47">
        <f>IF(C10="C",E9+D10,E9-D10)</f>
        <v>1400</v>
      </c>
      <c r="F10" s="60" t="str">
        <f t="shared" si="0"/>
        <v>Tudo OK</v>
      </c>
    </row>
    <row r="11" spans="1:6" x14ac:dyDescent="0.25">
      <c r="A11" s="73">
        <v>44596</v>
      </c>
      <c r="B11" s="71" t="s">
        <v>215</v>
      </c>
      <c r="C11" s="38" t="s">
        <v>11</v>
      </c>
      <c r="D11" s="72">
        <v>435</v>
      </c>
      <c r="E11" s="47">
        <f t="shared" ref="E11:E17" si="1">IF(C11="C",E10+D11,E10-D11)</f>
        <v>965</v>
      </c>
      <c r="F11" s="60" t="str">
        <f t="shared" si="0"/>
        <v>Tudo OK</v>
      </c>
    </row>
    <row r="12" spans="1:6" x14ac:dyDescent="0.25">
      <c r="A12" s="73">
        <v>44597</v>
      </c>
      <c r="B12" s="71" t="s">
        <v>216</v>
      </c>
      <c r="C12" s="38" t="s">
        <v>11</v>
      </c>
      <c r="D12" s="72">
        <v>850</v>
      </c>
      <c r="E12" s="47">
        <f t="shared" si="1"/>
        <v>115</v>
      </c>
      <c r="F12" s="60" t="str">
        <f t="shared" si="0"/>
        <v>Abaixo do Mínimo</v>
      </c>
    </row>
    <row r="13" spans="1:6" x14ac:dyDescent="0.25">
      <c r="A13" s="73">
        <v>44598</v>
      </c>
      <c r="B13" s="71" t="s">
        <v>214</v>
      </c>
      <c r="C13" s="38" t="s">
        <v>10</v>
      </c>
      <c r="D13" s="72">
        <v>1250</v>
      </c>
      <c r="E13" s="47">
        <f t="shared" si="1"/>
        <v>1365</v>
      </c>
      <c r="F13" s="60" t="str">
        <f t="shared" si="0"/>
        <v>Tudo OK</v>
      </c>
    </row>
    <row r="14" spans="1:6" x14ac:dyDescent="0.25">
      <c r="A14" s="73">
        <v>44599</v>
      </c>
      <c r="B14" s="71" t="s">
        <v>215</v>
      </c>
      <c r="C14" s="38" t="s">
        <v>11</v>
      </c>
      <c r="D14" s="72">
        <v>350</v>
      </c>
      <c r="E14" s="47">
        <f t="shared" si="1"/>
        <v>1015</v>
      </c>
      <c r="F14" s="60" t="str">
        <f t="shared" si="0"/>
        <v>Tudo OK</v>
      </c>
    </row>
    <row r="15" spans="1:6" x14ac:dyDescent="0.25">
      <c r="A15" s="73">
        <v>44600</v>
      </c>
      <c r="B15" s="71" t="s">
        <v>215</v>
      </c>
      <c r="C15" s="38" t="s">
        <v>11</v>
      </c>
      <c r="D15" s="72">
        <v>734</v>
      </c>
      <c r="E15" s="47">
        <f t="shared" si="1"/>
        <v>281</v>
      </c>
      <c r="F15" s="60" t="str">
        <f t="shared" si="0"/>
        <v>Abaixo do Mínimo</v>
      </c>
    </row>
    <row r="16" spans="1:6" x14ac:dyDescent="0.25">
      <c r="A16" s="73">
        <v>44601</v>
      </c>
      <c r="B16" s="71" t="s">
        <v>214</v>
      </c>
      <c r="C16" s="38" t="s">
        <v>11</v>
      </c>
      <c r="D16" s="72">
        <v>300</v>
      </c>
      <c r="E16" s="47">
        <f t="shared" si="1"/>
        <v>-19</v>
      </c>
      <c r="F16" s="60" t="str">
        <f t="shared" si="0"/>
        <v>Abaixo do Mínimo</v>
      </c>
    </row>
    <row r="17" spans="1:10" x14ac:dyDescent="0.25">
      <c r="A17" s="73">
        <v>44602</v>
      </c>
      <c r="B17" s="71" t="s">
        <v>214</v>
      </c>
      <c r="C17" s="38" t="s">
        <v>10</v>
      </c>
      <c r="D17" s="72">
        <v>950</v>
      </c>
      <c r="E17" s="47">
        <f t="shared" si="1"/>
        <v>931</v>
      </c>
      <c r="F17" s="60" t="str">
        <f t="shared" si="0"/>
        <v>Tudo OK</v>
      </c>
    </row>
    <row r="19" spans="1:10" x14ac:dyDescent="0.25">
      <c r="A19" s="184" t="s">
        <v>217</v>
      </c>
      <c r="B19" s="184"/>
      <c r="C19" s="72">
        <f>SUMIF(C8:C17,"C",D8:D17)</f>
        <v>4100</v>
      </c>
    </row>
    <row r="20" spans="1:10" x14ac:dyDescent="0.25">
      <c r="A20" s="184" t="s">
        <v>218</v>
      </c>
      <c r="B20" s="184"/>
      <c r="C20" s="72">
        <f>SUMIF(C8:C17,"D",D8:D17)</f>
        <v>3169</v>
      </c>
    </row>
    <row r="22" spans="1:10" ht="19.5" customHeight="1" x14ac:dyDescent="0.25">
      <c r="A22" s="176" t="s">
        <v>219</v>
      </c>
      <c r="B22" s="176"/>
      <c r="C22" s="176"/>
      <c r="D22" s="176"/>
      <c r="E22" s="176"/>
      <c r="F22" s="176"/>
      <c r="G22" s="178"/>
      <c r="H22" s="178"/>
      <c r="I22" s="178"/>
      <c r="J22" s="178"/>
    </row>
    <row r="23" spans="1:10" ht="19.5" customHeight="1" x14ac:dyDescent="0.25">
      <c r="A23" s="39" t="s">
        <v>236</v>
      </c>
      <c r="B23" s="39" t="s">
        <v>8</v>
      </c>
      <c r="C23" s="39" t="s">
        <v>9</v>
      </c>
      <c r="D23" s="39" t="s">
        <v>10</v>
      </c>
      <c r="E23" s="39" t="s">
        <v>11</v>
      </c>
      <c r="F23" s="39" t="s">
        <v>12</v>
      </c>
      <c r="G23" s="178"/>
      <c r="H23" s="178"/>
      <c r="I23" s="178"/>
      <c r="J23" s="178"/>
    </row>
    <row r="24" spans="1:10" x14ac:dyDescent="0.25">
      <c r="A24" s="71" t="s">
        <v>220</v>
      </c>
      <c r="B24" s="38" t="s">
        <v>221</v>
      </c>
      <c r="C24" s="38" t="s">
        <v>222</v>
      </c>
      <c r="D24" s="38" t="s">
        <v>223</v>
      </c>
      <c r="E24" s="38" t="s">
        <v>224</v>
      </c>
      <c r="F24" s="38" t="s">
        <v>225</v>
      </c>
      <c r="G24" s="178"/>
      <c r="H24" s="178"/>
      <c r="I24" s="178"/>
      <c r="J24" s="178"/>
    </row>
    <row r="25" spans="1:10" x14ac:dyDescent="0.25">
      <c r="A25" s="71" t="s">
        <v>39</v>
      </c>
      <c r="B25" s="72">
        <v>1.3</v>
      </c>
      <c r="C25" s="72">
        <v>1.8</v>
      </c>
      <c r="D25" s="72">
        <v>3</v>
      </c>
      <c r="E25" s="72">
        <v>6</v>
      </c>
      <c r="F25" s="72">
        <v>12</v>
      </c>
      <c r="G25" s="178"/>
      <c r="H25" s="178"/>
      <c r="I25" s="178"/>
      <c r="J25" s="178"/>
    </row>
    <row r="27" spans="1:10" ht="23.25" customHeight="1" x14ac:dyDescent="0.25">
      <c r="A27" s="179" t="s">
        <v>226</v>
      </c>
      <c r="B27" s="179"/>
      <c r="C27" s="179"/>
      <c r="D27" s="179"/>
      <c r="E27" s="179"/>
      <c r="F27" s="179"/>
      <c r="G27" s="179"/>
      <c r="H27" s="179"/>
      <c r="I27" s="179"/>
      <c r="J27" s="179"/>
    </row>
    <row r="28" spans="1:10" x14ac:dyDescent="0.25">
      <c r="A28" s="177" t="s">
        <v>227</v>
      </c>
      <c r="B28" s="177"/>
      <c r="C28" s="78">
        <v>0.35</v>
      </c>
    </row>
    <row r="30" spans="1:10" x14ac:dyDescent="0.25">
      <c r="A30" s="79" t="s">
        <v>193</v>
      </c>
      <c r="B30" s="79" t="s">
        <v>228</v>
      </c>
      <c r="C30" s="79" t="s">
        <v>229</v>
      </c>
      <c r="D30" s="79" t="s">
        <v>220</v>
      </c>
      <c r="E30" s="79" t="s">
        <v>230</v>
      </c>
      <c r="F30" s="80" t="s">
        <v>63</v>
      </c>
      <c r="G30" s="79" t="s">
        <v>231</v>
      </c>
      <c r="H30" s="180"/>
      <c r="I30" s="180"/>
      <c r="J30" s="180"/>
    </row>
    <row r="31" spans="1:10" x14ac:dyDescent="0.25">
      <c r="A31" s="71" t="s">
        <v>232</v>
      </c>
      <c r="B31" s="38">
        <v>3</v>
      </c>
      <c r="C31" s="38" t="s">
        <v>8</v>
      </c>
      <c r="D31" s="71" t="str">
        <f t="shared" ref="D31:D36" si="2">HLOOKUP(C31,Descontos,2)</f>
        <v>Cosmopólis</v>
      </c>
      <c r="E31" s="72">
        <f t="shared" ref="E31:E36" si="3">HLOOKUP(C31,Descontos,3)</f>
        <v>1.3</v>
      </c>
      <c r="F31" s="47">
        <f>E31*B31</f>
        <v>3.9000000000000004</v>
      </c>
      <c r="G31" s="47">
        <f>F31-(F31*$C$28)</f>
        <v>2.5350000000000001</v>
      </c>
      <c r="H31" s="180"/>
      <c r="I31" s="180"/>
      <c r="J31" s="180"/>
    </row>
    <row r="32" spans="1:10" x14ac:dyDescent="0.25">
      <c r="A32" s="71" t="s">
        <v>198</v>
      </c>
      <c r="B32" s="38">
        <v>1</v>
      </c>
      <c r="C32" s="38" t="s">
        <v>9</v>
      </c>
      <c r="D32" s="71" t="str">
        <f t="shared" si="2"/>
        <v>Santa Gertrudes</v>
      </c>
      <c r="E32" s="72">
        <f t="shared" si="3"/>
        <v>1.8</v>
      </c>
      <c r="F32" s="47">
        <f t="shared" ref="F32:F36" si="4">E32*B32</f>
        <v>1.8</v>
      </c>
      <c r="G32" s="47">
        <f t="shared" ref="G32:G36" si="5">F32-(F32*$C$28)</f>
        <v>1.17</v>
      </c>
      <c r="H32" s="180"/>
      <c r="I32" s="180"/>
      <c r="J32" s="180"/>
    </row>
    <row r="33" spans="1:10" x14ac:dyDescent="0.25">
      <c r="A33" s="71" t="s">
        <v>233</v>
      </c>
      <c r="B33" s="38">
        <v>5</v>
      </c>
      <c r="C33" s="38" t="s">
        <v>8</v>
      </c>
      <c r="D33" s="71" t="str">
        <f t="shared" si="2"/>
        <v>Cosmopólis</v>
      </c>
      <c r="E33" s="72">
        <f t="shared" si="3"/>
        <v>1.3</v>
      </c>
      <c r="F33" s="47">
        <f t="shared" si="4"/>
        <v>6.5</v>
      </c>
      <c r="G33" s="47">
        <f t="shared" si="5"/>
        <v>4.2249999999999996</v>
      </c>
      <c r="H33" s="180"/>
      <c r="I33" s="180"/>
      <c r="J33" s="180"/>
    </row>
    <row r="34" spans="1:10" x14ac:dyDescent="0.25">
      <c r="A34" s="71" t="s">
        <v>180</v>
      </c>
      <c r="B34" s="38">
        <v>7</v>
      </c>
      <c r="C34" s="38" t="s">
        <v>10</v>
      </c>
      <c r="D34" s="71" t="str">
        <f t="shared" si="2"/>
        <v>Americana</v>
      </c>
      <c r="E34" s="72">
        <f t="shared" si="3"/>
        <v>3</v>
      </c>
      <c r="F34" s="47">
        <f t="shared" si="4"/>
        <v>21</v>
      </c>
      <c r="G34" s="47">
        <f t="shared" si="5"/>
        <v>13.65</v>
      </c>
      <c r="H34" s="180"/>
      <c r="I34" s="180"/>
      <c r="J34" s="180"/>
    </row>
    <row r="35" spans="1:10" x14ac:dyDescent="0.25">
      <c r="A35" s="71" t="s">
        <v>234</v>
      </c>
      <c r="B35" s="38">
        <v>1</v>
      </c>
      <c r="C35" s="38" t="s">
        <v>8</v>
      </c>
      <c r="D35" s="71" t="str">
        <f t="shared" si="2"/>
        <v>Cosmopólis</v>
      </c>
      <c r="E35" s="72">
        <f t="shared" si="3"/>
        <v>1.3</v>
      </c>
      <c r="F35" s="47">
        <f t="shared" si="4"/>
        <v>1.3</v>
      </c>
      <c r="G35" s="47">
        <f t="shared" si="5"/>
        <v>0.84500000000000008</v>
      </c>
      <c r="H35" s="180"/>
      <c r="I35" s="180"/>
      <c r="J35" s="180"/>
    </row>
    <row r="36" spans="1:10" x14ac:dyDescent="0.25">
      <c r="A36" s="71" t="s">
        <v>235</v>
      </c>
      <c r="B36" s="38">
        <v>2</v>
      </c>
      <c r="C36" s="38" t="s">
        <v>12</v>
      </c>
      <c r="D36" s="71" t="str">
        <f t="shared" si="2"/>
        <v>São Paulo</v>
      </c>
      <c r="E36" s="72">
        <f t="shared" si="3"/>
        <v>12</v>
      </c>
      <c r="F36" s="47">
        <f t="shared" si="4"/>
        <v>24</v>
      </c>
      <c r="G36" s="47">
        <f t="shared" si="5"/>
        <v>15.600000000000001</v>
      </c>
      <c r="H36" s="180"/>
      <c r="I36" s="180"/>
      <c r="J36" s="180"/>
    </row>
  </sheetData>
  <mergeCells count="10">
    <mergeCell ref="A2:B5"/>
    <mergeCell ref="C3:D3"/>
    <mergeCell ref="A1:F1"/>
    <mergeCell ref="A19:B19"/>
    <mergeCell ref="A20:B20"/>
    <mergeCell ref="A22:F22"/>
    <mergeCell ref="A28:B28"/>
    <mergeCell ref="G22:J25"/>
    <mergeCell ref="A27:J27"/>
    <mergeCell ref="H30:J36"/>
  </mergeCells>
  <conditionalFormatting sqref="E9:E17">
    <cfRule type="cellIs" dxfId="12" priority="4" operator="lessThan">
      <formula>0</formula>
    </cfRule>
  </conditionalFormatting>
  <conditionalFormatting sqref="F8:F17">
    <cfRule type="cellIs" dxfId="11" priority="1" operator="equal">
      <formula>"tudo ok"</formula>
    </cfRule>
    <cfRule type="cellIs" dxfId="10" priority="2" operator="equal">
      <formula>"acima do máximo"</formula>
    </cfRule>
    <cfRule type="cellIs" dxfId="9" priority="3" operator="equal">
      <formula>"abaixo do mínimo"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8"/>
  <dimension ref="A1:J8"/>
  <sheetViews>
    <sheetView workbookViewId="0">
      <selection activeCell="E15" sqref="E15"/>
    </sheetView>
  </sheetViews>
  <sheetFormatPr defaultRowHeight="15" x14ac:dyDescent="0.25"/>
  <cols>
    <col min="1" max="1" width="10.5703125" customWidth="1"/>
    <col min="2" max="2" width="19.42578125" bestFit="1" customWidth="1"/>
    <col min="4" max="4" width="8" customWidth="1"/>
    <col min="6" max="6" width="21.140625" customWidth="1"/>
  </cols>
  <sheetData>
    <row r="1" spans="1:10" ht="22.5" customHeight="1" x14ac:dyDescent="0.25">
      <c r="A1" s="185" t="s">
        <v>237</v>
      </c>
      <c r="B1" s="185"/>
      <c r="C1" s="185"/>
      <c r="D1" s="185"/>
    </row>
    <row r="2" spans="1:10" ht="16.5" customHeight="1" x14ac:dyDescent="0.25">
      <c r="A2" s="5" t="s">
        <v>173</v>
      </c>
      <c r="B2" s="5">
        <v>1</v>
      </c>
    </row>
    <row r="3" spans="1:10" x14ac:dyDescent="0.25">
      <c r="A3" s="5" t="s">
        <v>174</v>
      </c>
      <c r="B3" s="58">
        <f ca="1">OFFSET('Caixas de Combinação_Matriz'!B1,B2,0)</f>
        <v>33</v>
      </c>
    </row>
    <row r="4" spans="1:10" x14ac:dyDescent="0.25">
      <c r="A4" s="5" t="s">
        <v>238</v>
      </c>
      <c r="B4" s="58" t="str">
        <f ca="1">OFFSET('Caixas de Combinação_Matriz'!C1,B2,0)</f>
        <v>M</v>
      </c>
    </row>
    <row r="5" spans="1:10" x14ac:dyDescent="0.25">
      <c r="A5" s="5" t="s">
        <v>239</v>
      </c>
      <c r="B5" s="58" t="str">
        <f ca="1">OFFSET('Caixas de Combinação_Matriz'!D1,B2,0)</f>
        <v>Analista de Sistemas</v>
      </c>
    </row>
    <row r="6" spans="1:10" x14ac:dyDescent="0.25">
      <c r="A6" s="5" t="s">
        <v>240</v>
      </c>
      <c r="B6" s="58" t="str">
        <f ca="1">OFFSET('Caixas de Combinação_Matriz'!E1,B2,0)</f>
        <v>5454-5454</v>
      </c>
    </row>
    <row r="8" spans="1:10" ht="26.25" x14ac:dyDescent="0.4">
      <c r="A8" s="186" t="s">
        <v>256</v>
      </c>
      <c r="B8" s="186"/>
      <c r="C8" s="186"/>
      <c r="D8" s="186"/>
      <c r="E8" s="186"/>
      <c r="F8" s="186"/>
      <c r="G8" s="186"/>
      <c r="H8" s="186"/>
      <c r="I8" s="186"/>
      <c r="J8" s="186"/>
    </row>
  </sheetData>
  <mergeCells count="2">
    <mergeCell ref="A1:D1"/>
    <mergeCell ref="A8:J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rop Down 1">
              <controlPr defaultSize="0" autoLine="0" autoPict="0" altText="Caixa de Combinação">
                <anchor mov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3</xdr:col>
                    <xdr:colOff>523875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E6"/>
  <sheetViews>
    <sheetView workbookViewId="0">
      <selection activeCell="B8" sqref="B8:B9"/>
    </sheetView>
  </sheetViews>
  <sheetFormatPr defaultRowHeight="15" x14ac:dyDescent="0.25"/>
  <cols>
    <col min="3" max="3" width="5.5703125" bestFit="1" customWidth="1"/>
    <col min="4" max="4" width="19.42578125" bestFit="1" customWidth="1"/>
    <col min="5" max="5" width="9.7109375" bestFit="1" customWidth="1"/>
  </cols>
  <sheetData>
    <row r="1" spans="1:5" ht="24" customHeight="1" x14ac:dyDescent="0.25">
      <c r="A1" s="80" t="s">
        <v>173</v>
      </c>
      <c r="B1" s="80" t="s">
        <v>174</v>
      </c>
      <c r="C1" s="80" t="s">
        <v>238</v>
      </c>
      <c r="D1" s="80" t="s">
        <v>239</v>
      </c>
      <c r="E1" s="80" t="s">
        <v>240</v>
      </c>
    </row>
    <row r="2" spans="1:5" x14ac:dyDescent="0.25">
      <c r="A2" s="58" t="s">
        <v>180</v>
      </c>
      <c r="B2" s="58">
        <v>33</v>
      </c>
      <c r="C2" s="58" t="s">
        <v>249</v>
      </c>
      <c r="D2" s="58" t="s">
        <v>244</v>
      </c>
      <c r="E2" s="58" t="s">
        <v>251</v>
      </c>
    </row>
    <row r="3" spans="1:5" x14ac:dyDescent="0.25">
      <c r="A3" s="58" t="s">
        <v>241</v>
      </c>
      <c r="B3" s="58">
        <v>65</v>
      </c>
      <c r="C3" s="58" t="s">
        <v>250</v>
      </c>
      <c r="D3" s="58" t="s">
        <v>245</v>
      </c>
      <c r="E3" s="58" t="s">
        <v>252</v>
      </c>
    </row>
    <row r="4" spans="1:5" x14ac:dyDescent="0.25">
      <c r="A4" s="58" t="s">
        <v>242</v>
      </c>
      <c r="B4" s="58">
        <v>98</v>
      </c>
      <c r="C4" s="58" t="s">
        <v>249</v>
      </c>
      <c r="D4" s="58" t="s">
        <v>246</v>
      </c>
      <c r="E4" s="58" t="s">
        <v>253</v>
      </c>
    </row>
    <row r="5" spans="1:5" x14ac:dyDescent="0.25">
      <c r="A5" s="58" t="s">
        <v>199</v>
      </c>
      <c r="B5" s="58">
        <v>72</v>
      </c>
      <c r="C5" s="58" t="s">
        <v>249</v>
      </c>
      <c r="D5" s="58" t="s">
        <v>247</v>
      </c>
      <c r="E5" s="58" t="s">
        <v>254</v>
      </c>
    </row>
    <row r="6" spans="1:5" x14ac:dyDescent="0.25">
      <c r="A6" s="58" t="s">
        <v>243</v>
      </c>
      <c r="B6" s="58">
        <v>25</v>
      </c>
      <c r="C6" s="58" t="s">
        <v>250</v>
      </c>
      <c r="D6" s="58" t="s">
        <v>248</v>
      </c>
      <c r="E6" s="58" t="s">
        <v>255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L24"/>
  <sheetViews>
    <sheetView topLeftCell="A9" workbookViewId="0">
      <selection activeCell="A19" sqref="A19:K19"/>
    </sheetView>
  </sheetViews>
  <sheetFormatPr defaultRowHeight="15" x14ac:dyDescent="0.25"/>
  <cols>
    <col min="1" max="1" width="15" bestFit="1" customWidth="1"/>
    <col min="2" max="2" width="14.28515625" customWidth="1"/>
    <col min="3" max="3" width="12.42578125" bestFit="1" customWidth="1"/>
    <col min="7" max="7" width="12.42578125" bestFit="1" customWidth="1"/>
    <col min="8" max="8" width="12.42578125" customWidth="1"/>
    <col min="11" max="11" width="12.42578125" bestFit="1" customWidth="1"/>
    <col min="12" max="12" width="9.7109375" bestFit="1" customWidth="1"/>
  </cols>
  <sheetData>
    <row r="1" spans="1:12" x14ac:dyDescent="0.25">
      <c r="A1" s="81" t="s">
        <v>257</v>
      </c>
      <c r="B1" s="81"/>
      <c r="C1" s="81"/>
      <c r="D1" s="187" t="s">
        <v>283</v>
      </c>
      <c r="E1" s="187"/>
      <c r="F1" s="187"/>
      <c r="G1" s="187"/>
      <c r="H1" s="187"/>
      <c r="I1" s="187"/>
      <c r="J1" s="187"/>
    </row>
    <row r="2" spans="1:12" x14ac:dyDescent="0.25">
      <c r="A2" s="195"/>
      <c r="B2" s="195"/>
      <c r="C2" s="195"/>
      <c r="D2" s="195"/>
      <c r="E2" s="195"/>
      <c r="F2" s="195"/>
      <c r="G2" s="195"/>
      <c r="H2" s="195"/>
      <c r="I2" s="195"/>
      <c r="J2" s="195"/>
    </row>
    <row r="3" spans="1:12" x14ac:dyDescent="0.25">
      <c r="A3" s="195"/>
      <c r="B3" s="195"/>
      <c r="C3" s="195"/>
      <c r="D3" s="195"/>
      <c r="E3" s="195"/>
      <c r="F3" s="195"/>
      <c r="G3" s="195"/>
      <c r="H3" s="195"/>
      <c r="I3" s="195"/>
      <c r="J3" s="195"/>
    </row>
    <row r="4" spans="1:12" x14ac:dyDescent="0.25">
      <c r="A4" s="195"/>
      <c r="B4" s="195"/>
      <c r="C4" s="195"/>
      <c r="D4" s="195"/>
      <c r="E4" s="195"/>
      <c r="F4" s="195"/>
      <c r="G4" s="195"/>
      <c r="H4" s="195"/>
      <c r="I4" s="195"/>
      <c r="J4" s="195"/>
    </row>
    <row r="5" spans="1:12" x14ac:dyDescent="0.25">
      <c r="A5" s="195"/>
      <c r="B5" s="195"/>
      <c r="C5" s="195"/>
      <c r="D5" s="195"/>
      <c r="E5" s="195"/>
      <c r="F5" s="195"/>
      <c r="G5" s="195"/>
      <c r="H5" s="195"/>
      <c r="I5" s="195"/>
      <c r="J5" s="195"/>
    </row>
    <row r="6" spans="1:12" x14ac:dyDescent="0.25">
      <c r="A6" s="195"/>
      <c r="B6" s="195"/>
      <c r="C6" s="195"/>
      <c r="D6" s="195"/>
      <c r="E6" s="195"/>
      <c r="F6" s="195"/>
      <c r="G6" s="195"/>
      <c r="H6" s="195"/>
      <c r="I6" s="195"/>
      <c r="J6" s="195"/>
    </row>
    <row r="7" spans="1:12" x14ac:dyDescent="0.25">
      <c r="A7" s="196"/>
      <c r="B7" s="196"/>
      <c r="C7" s="196"/>
      <c r="D7" s="196"/>
      <c r="E7" s="196"/>
      <c r="F7" s="196"/>
      <c r="G7" s="196"/>
      <c r="H7" s="196"/>
      <c r="I7" s="196"/>
      <c r="J7" s="196"/>
    </row>
    <row r="8" spans="1:12" ht="27.75" customHeight="1" x14ac:dyDescent="0.25">
      <c r="A8" s="188" t="s">
        <v>258</v>
      </c>
      <c r="B8" s="188"/>
      <c r="C8" s="188"/>
      <c r="D8" s="188"/>
      <c r="E8" s="188"/>
      <c r="F8" s="188"/>
      <c r="G8" s="188"/>
      <c r="H8" s="188"/>
      <c r="I8" s="188"/>
      <c r="J8" s="188"/>
    </row>
    <row r="9" spans="1:12" x14ac:dyDescent="0.25">
      <c r="A9" s="189" t="s">
        <v>259</v>
      </c>
      <c r="B9" s="190"/>
      <c r="C9" s="191"/>
      <c r="D9" s="189" t="s">
        <v>260</v>
      </c>
      <c r="E9" s="190"/>
      <c r="F9" s="190"/>
      <c r="G9" s="191"/>
      <c r="H9" s="189" t="s">
        <v>261</v>
      </c>
      <c r="I9" s="190"/>
      <c r="J9" s="191"/>
    </row>
    <row r="10" spans="1:12" x14ac:dyDescent="0.25">
      <c r="A10" s="192" t="str">
        <f>CONCATENATE(C14," ",C15," ",C16)</f>
        <v xml:space="preserve">  Hardware</v>
      </c>
      <c r="B10" s="193"/>
      <c r="C10" s="194"/>
      <c r="D10" s="192" t="str">
        <f>CONCATENATE(H14," ",H15," ",H16)</f>
        <v xml:space="preserve"> Tarde </v>
      </c>
      <c r="E10" s="193"/>
      <c r="F10" s="193"/>
      <c r="G10" s="194"/>
      <c r="H10" s="192" t="str">
        <f>CONCATENATE(L14," ",L15)</f>
        <v xml:space="preserve"> Parcelado</v>
      </c>
      <c r="I10" s="193"/>
      <c r="J10" s="194"/>
    </row>
    <row r="13" spans="1:12" x14ac:dyDescent="0.25">
      <c r="A13" s="189" t="s">
        <v>262</v>
      </c>
      <c r="B13" s="190"/>
      <c r="C13" s="191"/>
      <c r="D13" s="189" t="s">
        <v>263</v>
      </c>
      <c r="E13" s="190"/>
      <c r="F13" s="190"/>
      <c r="G13" s="190"/>
      <c r="H13" s="191"/>
      <c r="I13" s="197" t="s">
        <v>264</v>
      </c>
      <c r="J13" s="197"/>
      <c r="K13" s="197"/>
      <c r="L13" s="197"/>
    </row>
    <row r="14" spans="1:12" x14ac:dyDescent="0.25">
      <c r="A14" s="83" t="s">
        <v>265</v>
      </c>
      <c r="B14" s="84" t="b">
        <v>0</v>
      </c>
      <c r="C14" s="58" t="str">
        <f>IF(B14=TRUE,"Informática","")</f>
        <v/>
      </c>
      <c r="D14" s="205" t="s">
        <v>274</v>
      </c>
      <c r="E14" s="205"/>
      <c r="F14" s="205"/>
      <c r="G14" s="84" t="b">
        <v>0</v>
      </c>
      <c r="H14" s="84" t="str">
        <f>IF(G14=TRUE,"Manhã","")</f>
        <v/>
      </c>
      <c r="I14" s="207" t="s">
        <v>270</v>
      </c>
      <c r="J14" s="205"/>
      <c r="K14" s="5" t="b">
        <v>0</v>
      </c>
      <c r="L14" s="5" t="str">
        <f>IF(K14=TRUE,"À Vista","")</f>
        <v/>
      </c>
    </row>
    <row r="15" spans="1:12" x14ac:dyDescent="0.25">
      <c r="A15" s="83" t="s">
        <v>266</v>
      </c>
      <c r="B15" s="5" t="b">
        <v>0</v>
      </c>
      <c r="C15" s="58" t="str">
        <f t="shared" ref="C15" si="0">IF(B15=TRUE,"Web Design","")</f>
        <v/>
      </c>
      <c r="D15" s="206" t="s">
        <v>268</v>
      </c>
      <c r="E15" s="206"/>
      <c r="F15" s="206"/>
      <c r="G15" s="5" t="b">
        <v>1</v>
      </c>
      <c r="H15" s="5" t="str">
        <f>IF(G15=TRUE,"Tarde","")</f>
        <v>Tarde</v>
      </c>
      <c r="I15" s="208" t="s">
        <v>271</v>
      </c>
      <c r="J15" s="206"/>
      <c r="K15" s="5" t="b">
        <v>1</v>
      </c>
      <c r="L15" s="5" t="str">
        <f>IF(K15=TRUE,"Parcelado","")</f>
        <v>Parcelado</v>
      </c>
    </row>
    <row r="16" spans="1:12" x14ac:dyDescent="0.25">
      <c r="A16" s="83" t="s">
        <v>267</v>
      </c>
      <c r="B16" s="5" t="b">
        <v>1</v>
      </c>
      <c r="C16" s="58" t="str">
        <f>IF(B16=TRUE,"Hardware","")</f>
        <v>Hardware</v>
      </c>
      <c r="D16" s="206" t="s">
        <v>269</v>
      </c>
      <c r="E16" s="206"/>
      <c r="F16" s="206"/>
      <c r="G16" s="5" t="b">
        <v>0</v>
      </c>
      <c r="H16" s="5" t="str">
        <f>IF(G16=TRUE,"Noite","")</f>
        <v/>
      </c>
      <c r="I16" s="82"/>
      <c r="J16" s="82"/>
    </row>
    <row r="18" spans="1:12" x14ac:dyDescent="0.25">
      <c r="A18" s="198" t="s">
        <v>79</v>
      </c>
      <c r="B18" s="199"/>
      <c r="C18" s="200"/>
      <c r="D18" s="204" t="s">
        <v>259</v>
      </c>
      <c r="E18" s="204"/>
      <c r="F18" s="204"/>
      <c r="G18" s="198" t="s">
        <v>260</v>
      </c>
      <c r="H18" s="199"/>
      <c r="I18" s="200"/>
      <c r="J18" s="204" t="s">
        <v>272</v>
      </c>
      <c r="K18" s="204"/>
    </row>
    <row r="19" spans="1:12" x14ac:dyDescent="0.25">
      <c r="A19" s="178" t="str">
        <f>D1</f>
        <v>JOCELAINE GRASSI CONSTANTE</v>
      </c>
      <c r="B19" s="178"/>
      <c r="C19" s="178"/>
      <c r="D19" s="201" t="str">
        <f>A10</f>
        <v xml:space="preserve">  Hardware</v>
      </c>
      <c r="E19" s="202"/>
      <c r="F19" s="203"/>
      <c r="G19" s="201" t="str">
        <f>D10</f>
        <v xml:space="preserve"> Tarde </v>
      </c>
      <c r="H19" s="202"/>
      <c r="I19" s="203"/>
      <c r="J19" s="201" t="str">
        <f>H10</f>
        <v xml:space="preserve"> Parcelado</v>
      </c>
      <c r="K19" s="203"/>
    </row>
    <row r="21" spans="1:12" x14ac:dyDescent="0.25">
      <c r="H21" s="67"/>
      <c r="I21" s="67"/>
      <c r="J21" s="67"/>
      <c r="K21" s="67"/>
      <c r="L21" s="67"/>
    </row>
    <row r="22" spans="1:12" x14ac:dyDescent="0.25">
      <c r="H22" s="67"/>
      <c r="I22" s="67"/>
      <c r="J22" s="67"/>
      <c r="K22" s="67"/>
      <c r="L22" s="67"/>
    </row>
    <row r="23" spans="1:12" x14ac:dyDescent="0.25">
      <c r="H23" s="67"/>
      <c r="I23" s="67"/>
      <c r="J23" s="67"/>
      <c r="K23" s="67"/>
      <c r="L23" s="67"/>
    </row>
    <row r="24" spans="1:12" x14ac:dyDescent="0.25">
      <c r="H24" s="67"/>
      <c r="I24" s="67"/>
      <c r="J24" s="67"/>
      <c r="K24" s="67"/>
      <c r="L24" s="67"/>
    </row>
  </sheetData>
  <mergeCells count="25">
    <mergeCell ref="D14:F14"/>
    <mergeCell ref="D15:F15"/>
    <mergeCell ref="D16:F16"/>
    <mergeCell ref="I14:J14"/>
    <mergeCell ref="I15:J15"/>
    <mergeCell ref="A18:C18"/>
    <mergeCell ref="A19:C19"/>
    <mergeCell ref="D19:F19"/>
    <mergeCell ref="G19:I19"/>
    <mergeCell ref="J19:K19"/>
    <mergeCell ref="D18:F18"/>
    <mergeCell ref="G18:I18"/>
    <mergeCell ref="J18:K18"/>
    <mergeCell ref="I13:L13"/>
    <mergeCell ref="A13:C13"/>
    <mergeCell ref="D13:H13"/>
    <mergeCell ref="A9:C9"/>
    <mergeCell ref="H10:J10"/>
    <mergeCell ref="D1:J1"/>
    <mergeCell ref="A8:J8"/>
    <mergeCell ref="H9:J9"/>
    <mergeCell ref="D9:G9"/>
    <mergeCell ref="A10:C10"/>
    <mergeCell ref="D10:G10"/>
    <mergeCell ref="A2:J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0</xdr:col>
                    <xdr:colOff>57150</xdr:colOff>
                    <xdr:row>1</xdr:row>
                    <xdr:rowOff>104775</xdr:rowOff>
                  </from>
                  <to>
                    <xdr:col>1</xdr:col>
                    <xdr:colOff>228600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0</xdr:col>
                    <xdr:colOff>66675</xdr:colOff>
                    <xdr:row>2</xdr:row>
                    <xdr:rowOff>47625</xdr:rowOff>
                  </from>
                  <to>
                    <xdr:col>1</xdr:col>
                    <xdr:colOff>171450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0</xdr:col>
                    <xdr:colOff>66675</xdr:colOff>
                    <xdr:row>3</xdr:row>
                    <xdr:rowOff>85725</xdr:rowOff>
                  </from>
                  <to>
                    <xdr:col>1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Check Box 4">
              <controlPr defaultSize="0" autoFill="0" autoLine="0" autoPict="0">
                <anchor moveWithCells="1">
                  <from>
                    <xdr:col>0</xdr:col>
                    <xdr:colOff>66675</xdr:colOff>
                    <xdr:row>4</xdr:row>
                    <xdr:rowOff>123825</xdr:rowOff>
                  </from>
                  <to>
                    <xdr:col>1</xdr:col>
                    <xdr:colOff>171450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Group Box 6">
              <controlPr defaultSize="0" autoFill="0" autoPict="0">
                <anchor moveWithCells="1">
                  <from>
                    <xdr:col>1</xdr:col>
                    <xdr:colOff>295275</xdr:colOff>
                    <xdr:row>1</xdr:row>
                    <xdr:rowOff>104775</xdr:rowOff>
                  </from>
                  <to>
                    <xdr:col>2</xdr:col>
                    <xdr:colOff>514350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Check Box 7">
              <controlPr defaultSize="0" autoFill="0" autoLine="0" autoPict="0">
                <anchor moveWithCells="1">
                  <from>
                    <xdr:col>1</xdr:col>
                    <xdr:colOff>304800</xdr:colOff>
                    <xdr:row>2</xdr:row>
                    <xdr:rowOff>47625</xdr:rowOff>
                  </from>
                  <to>
                    <xdr:col>2</xdr:col>
                    <xdr:colOff>457200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Check Box 8">
              <controlPr defaultSize="0" autoFill="0" autoLine="0" autoPict="0">
                <anchor moveWithCells="1">
                  <from>
                    <xdr:col>1</xdr:col>
                    <xdr:colOff>304800</xdr:colOff>
                    <xdr:row>3</xdr:row>
                    <xdr:rowOff>85725</xdr:rowOff>
                  </from>
                  <to>
                    <xdr:col>2</xdr:col>
                    <xdr:colOff>457200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Check Box 9">
              <controlPr defaultSize="0" autoFill="0" autoLine="0" autoPict="0">
                <anchor moveWithCells="1">
                  <from>
                    <xdr:col>1</xdr:col>
                    <xdr:colOff>304800</xdr:colOff>
                    <xdr:row>4</xdr:row>
                    <xdr:rowOff>123825</xdr:rowOff>
                  </from>
                  <to>
                    <xdr:col>2</xdr:col>
                    <xdr:colOff>457200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2" name="Group Box 10">
              <controlPr defaultSize="0" autoFill="0" autoPict="0">
                <anchor moveWithCells="1">
                  <from>
                    <xdr:col>3</xdr:col>
                    <xdr:colOff>266700</xdr:colOff>
                    <xdr:row>1</xdr:row>
                    <xdr:rowOff>104775</xdr:rowOff>
                  </from>
                  <to>
                    <xdr:col>5</xdr:col>
                    <xdr:colOff>466725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3" name="Check Box 11">
              <controlPr defaultSize="0" autoFill="0" autoLine="0" autoPict="0">
                <anchor moveWithCells="1">
                  <from>
                    <xdr:col>3</xdr:col>
                    <xdr:colOff>276225</xdr:colOff>
                    <xdr:row>2</xdr:row>
                    <xdr:rowOff>47625</xdr:rowOff>
                  </from>
                  <to>
                    <xdr:col>5</xdr:col>
                    <xdr:colOff>161925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4" name="Check Box 12">
              <controlPr defaultSize="0" autoFill="0" autoLine="0" autoPict="0">
                <anchor moveWithCells="1">
                  <from>
                    <xdr:col>3</xdr:col>
                    <xdr:colOff>276225</xdr:colOff>
                    <xdr:row>3</xdr:row>
                    <xdr:rowOff>85725</xdr:rowOff>
                  </from>
                  <to>
                    <xdr:col>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5" name="Button 14">
              <controlPr defaultSize="0" print="0" autoFill="0" autoPict="0" macro="[0]!cadastro">
                <anchor moveWithCells="1" sizeWithCells="1">
                  <from>
                    <xdr:col>0</xdr:col>
                    <xdr:colOff>552450</xdr:colOff>
                    <xdr:row>19</xdr:row>
                    <xdr:rowOff>152400</xdr:rowOff>
                  </from>
                  <to>
                    <xdr:col>3</xdr:col>
                    <xdr:colOff>114300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6" name="Button 15">
              <controlPr defaultSize="0" print="0" autoFill="0" autoPict="0" macro="[0]!Limpar">
                <anchor moveWithCells="1" sizeWithCells="1">
                  <from>
                    <xdr:col>3</xdr:col>
                    <xdr:colOff>590550</xdr:colOff>
                    <xdr:row>19</xdr:row>
                    <xdr:rowOff>171450</xdr:rowOff>
                  </from>
                  <to>
                    <xdr:col>6</xdr:col>
                    <xdr:colOff>323850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K9"/>
  <sheetViews>
    <sheetView workbookViewId="0">
      <selection activeCell="D9" sqref="D9"/>
    </sheetView>
  </sheetViews>
  <sheetFormatPr defaultRowHeight="15" x14ac:dyDescent="0.25"/>
  <cols>
    <col min="1" max="1" width="24.42578125" bestFit="1" customWidth="1"/>
    <col min="2" max="2" width="18.28515625" customWidth="1"/>
    <col min="3" max="3" width="19.85546875" customWidth="1"/>
    <col min="4" max="4" width="19.140625" customWidth="1"/>
  </cols>
  <sheetData>
    <row r="1" spans="1:11" ht="18.75" x14ac:dyDescent="0.25">
      <c r="A1" s="211" t="s">
        <v>79</v>
      </c>
      <c r="B1" s="211"/>
      <c r="C1" s="211"/>
      <c r="D1" s="209" t="s">
        <v>259</v>
      </c>
      <c r="E1" s="210"/>
      <c r="F1" s="212"/>
      <c r="G1" s="209" t="s">
        <v>260</v>
      </c>
      <c r="H1" s="210"/>
      <c r="I1" s="212"/>
      <c r="J1" s="209" t="s">
        <v>261</v>
      </c>
      <c r="K1" s="210"/>
    </row>
    <row r="3" spans="1:11" x14ac:dyDescent="0.25">
      <c r="A3" s="85"/>
      <c r="B3" s="86"/>
      <c r="C3" s="86"/>
      <c r="D3" s="213" t="s">
        <v>275</v>
      </c>
      <c r="E3" s="213"/>
      <c r="F3" s="213"/>
      <c r="G3" s="178" t="s">
        <v>277</v>
      </c>
      <c r="H3" s="178"/>
      <c r="I3" s="178"/>
      <c r="J3" s="178" t="s">
        <v>278</v>
      </c>
      <c r="K3" s="178"/>
    </row>
    <row r="4" spans="1:11" x14ac:dyDescent="0.25">
      <c r="A4" s="86" t="s">
        <v>282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25">
      <c r="A5" s="86" t="s">
        <v>281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x14ac:dyDescent="0.25">
      <c r="A6" s="86" t="s">
        <v>280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 x14ac:dyDescent="0.25">
      <c r="A7" s="86" t="s">
        <v>279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x14ac:dyDescent="0.25">
      <c r="A8" s="86" t="s">
        <v>276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25">
      <c r="A9" s="86" t="s">
        <v>273</v>
      </c>
    </row>
  </sheetData>
  <mergeCells count="7">
    <mergeCell ref="J3:K3"/>
    <mergeCell ref="J1:K1"/>
    <mergeCell ref="A1:C1"/>
    <mergeCell ref="D1:F1"/>
    <mergeCell ref="D3:F3"/>
    <mergeCell ref="G1:I1"/>
    <mergeCell ref="G3:I3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4"/>
  <sheetViews>
    <sheetView topLeftCell="A19" workbookViewId="0">
      <selection activeCell="B35" sqref="B35"/>
    </sheetView>
  </sheetViews>
  <sheetFormatPr defaultRowHeight="15" x14ac:dyDescent="0.25"/>
  <cols>
    <col min="1" max="1" width="18.28515625" bestFit="1" customWidth="1"/>
    <col min="3" max="3" width="17.85546875" bestFit="1" customWidth="1"/>
    <col min="4" max="4" width="12.140625" bestFit="1" customWidth="1"/>
  </cols>
  <sheetData>
    <row r="1" spans="1:5" ht="28.5" customHeight="1" x14ac:dyDescent="0.25">
      <c r="A1" s="70" t="s">
        <v>79</v>
      </c>
      <c r="B1" s="70" t="s">
        <v>284</v>
      </c>
      <c r="C1" s="70" t="s">
        <v>285</v>
      </c>
      <c r="D1" s="70" t="s">
        <v>286</v>
      </c>
      <c r="E1" s="70" t="s">
        <v>287</v>
      </c>
    </row>
    <row r="2" spans="1:5" x14ac:dyDescent="0.25">
      <c r="A2" s="5" t="s">
        <v>288</v>
      </c>
      <c r="B2" s="58">
        <v>10</v>
      </c>
      <c r="C2" s="52" t="s">
        <v>195</v>
      </c>
      <c r="D2" s="26">
        <v>850</v>
      </c>
      <c r="E2" s="5" t="s">
        <v>296</v>
      </c>
    </row>
    <row r="3" spans="1:5" x14ac:dyDescent="0.25">
      <c r="A3" s="5" t="s">
        <v>289</v>
      </c>
      <c r="B3" s="58">
        <v>32</v>
      </c>
      <c r="C3" s="52" t="s">
        <v>293</v>
      </c>
      <c r="D3" s="26">
        <v>1200</v>
      </c>
      <c r="E3" s="5" t="s">
        <v>297</v>
      </c>
    </row>
    <row r="4" spans="1:5" x14ac:dyDescent="0.25">
      <c r="A4" s="5" t="s">
        <v>303</v>
      </c>
      <c r="B4" s="58">
        <v>40</v>
      </c>
      <c r="C4" s="52" t="s">
        <v>293</v>
      </c>
      <c r="D4" s="26">
        <v>2000</v>
      </c>
      <c r="E4" s="5" t="s">
        <v>298</v>
      </c>
    </row>
    <row r="5" spans="1:5" x14ac:dyDescent="0.25">
      <c r="A5" s="5" t="s">
        <v>290</v>
      </c>
      <c r="B5" s="58">
        <v>31</v>
      </c>
      <c r="C5" s="52" t="s">
        <v>294</v>
      </c>
      <c r="D5" s="26">
        <v>1350</v>
      </c>
      <c r="E5" s="5" t="s">
        <v>299</v>
      </c>
    </row>
    <row r="6" spans="1:5" x14ac:dyDescent="0.25">
      <c r="A6" s="5" t="s">
        <v>291</v>
      </c>
      <c r="B6" s="58">
        <v>35</v>
      </c>
      <c r="C6" s="52" t="s">
        <v>195</v>
      </c>
      <c r="D6" s="26">
        <v>1500</v>
      </c>
      <c r="E6" s="5" t="s">
        <v>300</v>
      </c>
    </row>
    <row r="7" spans="1:5" x14ac:dyDescent="0.25">
      <c r="A7" s="5" t="s">
        <v>292</v>
      </c>
      <c r="B7" s="58">
        <v>26</v>
      </c>
      <c r="C7" s="52" t="s">
        <v>295</v>
      </c>
      <c r="D7" s="26">
        <v>4000</v>
      </c>
      <c r="E7" s="5" t="s">
        <v>301</v>
      </c>
    </row>
    <row r="9" spans="1:5" x14ac:dyDescent="0.25">
      <c r="A9" s="70" t="s">
        <v>79</v>
      </c>
      <c r="B9" s="70" t="s">
        <v>284</v>
      </c>
      <c r="C9" s="70" t="s">
        <v>285</v>
      </c>
      <c r="D9" s="70" t="s">
        <v>286</v>
      </c>
      <c r="E9" s="70" t="s">
        <v>287</v>
      </c>
    </row>
    <row r="10" spans="1:5" x14ac:dyDescent="0.25">
      <c r="A10" s="5" t="s">
        <v>302</v>
      </c>
      <c r="B10" s="5"/>
      <c r="C10" s="5"/>
      <c r="D10" s="5"/>
      <c r="E10" s="5"/>
    </row>
    <row r="12" spans="1:5" x14ac:dyDescent="0.25">
      <c r="A12" s="5">
        <f>DCOUNT(A1:E7,,A9:E10)</f>
        <v>2</v>
      </c>
    </row>
    <row r="13" spans="1:5" x14ac:dyDescent="0.25">
      <c r="A13" s="1"/>
      <c r="B13" s="1"/>
      <c r="C13" s="1"/>
      <c r="D13" s="1"/>
    </row>
    <row r="14" spans="1:5" x14ac:dyDescent="0.25">
      <c r="A14" s="70" t="s">
        <v>79</v>
      </c>
      <c r="B14" s="70" t="s">
        <v>304</v>
      </c>
      <c r="C14" s="70" t="s">
        <v>305</v>
      </c>
      <c r="D14" s="70" t="s">
        <v>306</v>
      </c>
    </row>
    <row r="15" spans="1:5" x14ac:dyDescent="0.25">
      <c r="A15" s="5" t="s">
        <v>307</v>
      </c>
      <c r="B15" s="58">
        <v>32</v>
      </c>
      <c r="C15" s="58">
        <v>180</v>
      </c>
      <c r="D15" s="58">
        <v>90</v>
      </c>
    </row>
    <row r="16" spans="1:5" x14ac:dyDescent="0.25">
      <c r="A16" s="5" t="s">
        <v>308</v>
      </c>
      <c r="B16" s="58">
        <v>40</v>
      </c>
      <c r="C16" s="58">
        <v>200</v>
      </c>
      <c r="D16" s="58">
        <v>88</v>
      </c>
    </row>
    <row r="17" spans="1:5" x14ac:dyDescent="0.25">
      <c r="A17" s="5" t="s">
        <v>182</v>
      </c>
      <c r="B17" s="58">
        <v>25</v>
      </c>
      <c r="C17" s="58">
        <v>165</v>
      </c>
      <c r="D17" s="58">
        <v>75</v>
      </c>
    </row>
    <row r="18" spans="1:5" x14ac:dyDescent="0.25">
      <c r="A18" s="5" t="s">
        <v>309</v>
      </c>
      <c r="B18" s="58">
        <v>18</v>
      </c>
      <c r="C18" s="58">
        <v>178</v>
      </c>
      <c r="D18" s="58">
        <v>100</v>
      </c>
    </row>
    <row r="19" spans="1:5" x14ac:dyDescent="0.25">
      <c r="A19" s="5" t="s">
        <v>310</v>
      </c>
      <c r="B19" s="58">
        <v>44</v>
      </c>
      <c r="C19" s="58">
        <v>192</v>
      </c>
      <c r="D19" s="58">
        <v>68</v>
      </c>
    </row>
    <row r="20" spans="1:5" x14ac:dyDescent="0.25">
      <c r="A20" s="5" t="s">
        <v>311</v>
      </c>
      <c r="B20" s="58">
        <v>19</v>
      </c>
      <c r="C20" s="58">
        <v>190</v>
      </c>
      <c r="D20" s="58">
        <v>47</v>
      </c>
      <c r="E20" s="70">
        <f>DCOUNT(A14:D21,,A23:D24)</f>
        <v>1</v>
      </c>
    </row>
    <row r="21" spans="1:5" x14ac:dyDescent="0.25">
      <c r="A21" s="5" t="s">
        <v>312</v>
      </c>
      <c r="B21" s="58">
        <v>66</v>
      </c>
      <c r="C21" s="58">
        <v>169</v>
      </c>
      <c r="D21" s="58">
        <v>83</v>
      </c>
    </row>
    <row r="23" spans="1:5" x14ac:dyDescent="0.25">
      <c r="A23" s="70" t="s">
        <v>79</v>
      </c>
      <c r="B23" s="70" t="s">
        <v>304</v>
      </c>
      <c r="C23" s="70" t="s">
        <v>305</v>
      </c>
      <c r="D23" s="70" t="s">
        <v>306</v>
      </c>
    </row>
    <row r="24" spans="1:5" x14ac:dyDescent="0.25">
      <c r="A24" s="58"/>
      <c r="B24" s="58"/>
      <c r="C24" s="58">
        <f>200</f>
        <v>200</v>
      </c>
      <c r="D24" s="58" t="s">
        <v>313</v>
      </c>
    </row>
    <row r="26" spans="1:5" x14ac:dyDescent="0.25">
      <c r="A26" s="70" t="s">
        <v>79</v>
      </c>
      <c r="B26" s="70" t="s">
        <v>314</v>
      </c>
    </row>
    <row r="27" spans="1:5" x14ac:dyDescent="0.25">
      <c r="A27" s="5" t="s">
        <v>87</v>
      </c>
      <c r="B27" s="5" t="s">
        <v>318</v>
      </c>
    </row>
    <row r="28" spans="1:5" x14ac:dyDescent="0.25">
      <c r="A28" s="5" t="s">
        <v>88</v>
      </c>
      <c r="B28" s="5" t="s">
        <v>319</v>
      </c>
    </row>
    <row r="29" spans="1:5" x14ac:dyDescent="0.25">
      <c r="A29" s="5" t="s">
        <v>315</v>
      </c>
      <c r="B29" s="5" t="s">
        <v>320</v>
      </c>
    </row>
    <row r="30" spans="1:5" x14ac:dyDescent="0.25">
      <c r="A30" s="5" t="s">
        <v>316</v>
      </c>
      <c r="B30" s="5" t="s">
        <v>318</v>
      </c>
    </row>
    <row r="31" spans="1:5" x14ac:dyDescent="0.25">
      <c r="A31" s="5" t="s">
        <v>317</v>
      </c>
      <c r="B31" s="5" t="s">
        <v>321</v>
      </c>
    </row>
    <row r="33" spans="1:3" x14ac:dyDescent="0.25">
      <c r="A33" s="5" t="s">
        <v>79</v>
      </c>
      <c r="B33" s="5" t="s">
        <v>314</v>
      </c>
      <c r="C33" s="70">
        <f>DCOUNT(A26:B31,,A33:B34)</f>
        <v>1</v>
      </c>
    </row>
    <row r="34" spans="1:3" x14ac:dyDescent="0.25">
      <c r="A34" s="5"/>
      <c r="B34" s="5" t="s">
        <v>322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F3" sqref="F3"/>
    </sheetView>
  </sheetViews>
  <sheetFormatPr defaultRowHeight="15" x14ac:dyDescent="0.25"/>
  <cols>
    <col min="1" max="1" width="15.42578125" customWidth="1"/>
    <col min="2" max="2" width="18.140625" customWidth="1"/>
    <col min="3" max="3" width="16" customWidth="1"/>
    <col min="5" max="5" width="12.42578125" customWidth="1"/>
    <col min="6" max="6" width="14.7109375" customWidth="1"/>
    <col min="7" max="7" width="11.85546875" customWidth="1"/>
  </cols>
  <sheetData>
    <row r="1" spans="1:7" ht="27" customHeight="1" x14ac:dyDescent="0.25">
      <c r="A1" s="70" t="s">
        <v>323</v>
      </c>
      <c r="B1" s="70" t="s">
        <v>114</v>
      </c>
      <c r="C1" s="70" t="s">
        <v>207</v>
      </c>
      <c r="E1" s="70" t="s">
        <v>323</v>
      </c>
      <c r="F1" s="70" t="s">
        <v>114</v>
      </c>
      <c r="G1" s="70" t="s">
        <v>207</v>
      </c>
    </row>
    <row r="2" spans="1:7" x14ac:dyDescent="0.25">
      <c r="A2" s="71" t="s">
        <v>324</v>
      </c>
      <c r="B2" s="52" t="s">
        <v>108</v>
      </c>
      <c r="C2" s="69">
        <v>25</v>
      </c>
      <c r="E2" s="58"/>
      <c r="F2" s="52" t="s">
        <v>333</v>
      </c>
      <c r="G2" s="58"/>
    </row>
    <row r="3" spans="1:7" x14ac:dyDescent="0.25">
      <c r="A3" s="71" t="s">
        <v>325</v>
      </c>
      <c r="B3" s="52" t="s">
        <v>327</v>
      </c>
      <c r="C3" s="69">
        <v>650</v>
      </c>
    </row>
    <row r="4" spans="1:7" x14ac:dyDescent="0.25">
      <c r="A4" s="71" t="s">
        <v>326</v>
      </c>
      <c r="B4" s="52" t="s">
        <v>331</v>
      </c>
      <c r="C4" s="69">
        <v>180</v>
      </c>
      <c r="E4" s="71" t="s">
        <v>332</v>
      </c>
      <c r="F4" s="214">
        <f>DSUM(A1:C10,C1,E1:G2)</f>
        <v>975</v>
      </c>
      <c r="G4" s="215"/>
    </row>
    <row r="5" spans="1:7" x14ac:dyDescent="0.25">
      <c r="A5" s="71" t="s">
        <v>324</v>
      </c>
      <c r="B5" s="52" t="s">
        <v>109</v>
      </c>
      <c r="C5" s="69">
        <v>15</v>
      </c>
    </row>
    <row r="6" spans="1:7" x14ac:dyDescent="0.25">
      <c r="A6" s="71" t="s">
        <v>325</v>
      </c>
      <c r="B6" s="52" t="s">
        <v>329</v>
      </c>
      <c r="C6" s="69">
        <v>260</v>
      </c>
    </row>
    <row r="7" spans="1:7" x14ac:dyDescent="0.25">
      <c r="A7" s="71" t="s">
        <v>326</v>
      </c>
      <c r="B7" s="52" t="s">
        <v>108</v>
      </c>
      <c r="C7" s="69">
        <v>950</v>
      </c>
    </row>
    <row r="8" spans="1:7" x14ac:dyDescent="0.25">
      <c r="A8" s="71" t="s">
        <v>324</v>
      </c>
      <c r="B8" s="52" t="s">
        <v>330</v>
      </c>
      <c r="C8" s="69">
        <v>1200</v>
      </c>
    </row>
    <row r="9" spans="1:7" x14ac:dyDescent="0.25">
      <c r="A9" s="71" t="s">
        <v>325</v>
      </c>
      <c r="B9" s="52" t="s">
        <v>109</v>
      </c>
      <c r="C9" s="69">
        <v>50</v>
      </c>
    </row>
    <row r="10" spans="1:7" x14ac:dyDescent="0.25">
      <c r="A10" s="71" t="s">
        <v>326</v>
      </c>
      <c r="B10" s="52" t="s">
        <v>331</v>
      </c>
      <c r="C10" s="69">
        <v>220</v>
      </c>
    </row>
  </sheetData>
  <mergeCells count="1">
    <mergeCell ref="F4:G4"/>
  </mergeCells>
  <conditionalFormatting sqref="B2:B10">
    <cfRule type="cellIs" dxfId="8" priority="1" operator="equal">
      <formula>"teclado"</formula>
    </cfRule>
    <cfRule type="cellIs" dxfId="7" priority="2" operator="equal">
      <formula>"fonte"</formula>
    </cfRule>
    <cfRule type="cellIs" dxfId="6" priority="3" operator="equal">
      <formula>"mouse"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selection activeCell="I14" sqref="I14"/>
    </sheetView>
  </sheetViews>
  <sheetFormatPr defaultRowHeight="15" x14ac:dyDescent="0.25"/>
  <cols>
    <col min="1" max="1" width="20.42578125" customWidth="1"/>
    <col min="2" max="2" width="16" customWidth="1"/>
    <col min="3" max="3" width="15.7109375" customWidth="1"/>
    <col min="7" max="7" width="12.140625" bestFit="1" customWidth="1"/>
  </cols>
  <sheetData>
    <row r="1" spans="1:9" ht="23.25" customHeight="1" x14ac:dyDescent="0.25">
      <c r="A1" s="68" t="s">
        <v>79</v>
      </c>
      <c r="B1" s="68" t="s">
        <v>334</v>
      </c>
      <c r="C1" s="68" t="s">
        <v>286</v>
      </c>
    </row>
    <row r="2" spans="1:9" x14ac:dyDescent="0.25">
      <c r="A2" s="5" t="s">
        <v>336</v>
      </c>
      <c r="B2" s="58"/>
      <c r="C2" s="26"/>
      <c r="F2" s="216" t="s">
        <v>345</v>
      </c>
      <c r="G2" s="216"/>
      <c r="H2" s="216"/>
      <c r="I2" s="216"/>
    </row>
    <row r="3" spans="1:9" x14ac:dyDescent="0.25">
      <c r="F3" s="83" t="s">
        <v>79</v>
      </c>
      <c r="G3" s="178" t="str">
        <f>DGET(Dados,A4,A1:C2)</f>
        <v>Marta Fernandes</v>
      </c>
      <c r="H3" s="178"/>
      <c r="I3" s="178"/>
    </row>
    <row r="4" spans="1:9" ht="24.75" customHeight="1" x14ac:dyDescent="0.25">
      <c r="A4" s="68" t="s">
        <v>79</v>
      </c>
      <c r="B4" s="68" t="s">
        <v>334</v>
      </c>
      <c r="C4" s="68" t="s">
        <v>286</v>
      </c>
      <c r="F4" s="88" t="s">
        <v>334</v>
      </c>
      <c r="G4" s="171" t="str">
        <f>DGET(Dados,B4,A1:C2)</f>
        <v>Professora</v>
      </c>
      <c r="H4" s="171"/>
      <c r="I4" s="171"/>
    </row>
    <row r="5" spans="1:9" x14ac:dyDescent="0.25">
      <c r="A5" s="71" t="s">
        <v>335</v>
      </c>
      <c r="B5" s="58" t="s">
        <v>341</v>
      </c>
      <c r="C5" s="15">
        <v>2500</v>
      </c>
      <c r="F5" s="83" t="s">
        <v>286</v>
      </c>
      <c r="G5" s="217">
        <f>DGET(Dados,C4,A1:C2)</f>
        <v>1300</v>
      </c>
      <c r="H5" s="217"/>
      <c r="I5" s="217"/>
    </row>
    <row r="6" spans="1:9" x14ac:dyDescent="0.25">
      <c r="A6" s="87" t="s">
        <v>336</v>
      </c>
      <c r="B6" s="58" t="s">
        <v>342</v>
      </c>
      <c r="C6" s="15">
        <v>1300</v>
      </c>
    </row>
    <row r="7" spans="1:9" x14ac:dyDescent="0.25">
      <c r="A7" s="87" t="s">
        <v>337</v>
      </c>
      <c r="B7" s="58" t="s">
        <v>248</v>
      </c>
      <c r="C7" s="15">
        <v>1500</v>
      </c>
    </row>
    <row r="8" spans="1:9" x14ac:dyDescent="0.25">
      <c r="A8" s="87" t="s">
        <v>338</v>
      </c>
      <c r="B8" s="58" t="s">
        <v>343</v>
      </c>
      <c r="C8" s="15">
        <v>3000</v>
      </c>
    </row>
    <row r="9" spans="1:9" x14ac:dyDescent="0.25">
      <c r="A9" s="87" t="s">
        <v>339</v>
      </c>
      <c r="B9" s="58" t="s">
        <v>245</v>
      </c>
      <c r="C9" s="15">
        <v>1500</v>
      </c>
    </row>
    <row r="10" spans="1:9" x14ac:dyDescent="0.25">
      <c r="A10" s="87" t="s">
        <v>340</v>
      </c>
      <c r="B10" s="58" t="s">
        <v>344</v>
      </c>
      <c r="C10" s="15">
        <v>1600</v>
      </c>
    </row>
  </sheetData>
  <mergeCells count="4">
    <mergeCell ref="F2:I2"/>
    <mergeCell ref="G3:I3"/>
    <mergeCell ref="G4:I4"/>
    <mergeCell ref="G5:I5"/>
  </mergeCells>
  <dataValidations count="1">
    <dataValidation type="list" allowBlank="1" showInputMessage="1" showErrorMessage="1" sqref="A2">
      <formula1>$A$5:$A$10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J12" sqref="J12"/>
    </sheetView>
  </sheetViews>
  <sheetFormatPr defaultRowHeight="15" x14ac:dyDescent="0.25"/>
  <cols>
    <col min="1" max="1" width="12.85546875" customWidth="1"/>
    <col min="2" max="2" width="16" customWidth="1"/>
    <col min="3" max="3" width="16.28515625" customWidth="1"/>
    <col min="4" max="4" width="10.5703125" bestFit="1" customWidth="1"/>
    <col min="5" max="5" width="16.7109375" bestFit="1" customWidth="1"/>
  </cols>
  <sheetData>
    <row r="1" spans="1:5" ht="23.25" customHeight="1" x14ac:dyDescent="0.25">
      <c r="A1" s="63" t="s">
        <v>38</v>
      </c>
      <c r="B1" s="63" t="s">
        <v>346</v>
      </c>
      <c r="C1" s="63" t="s">
        <v>347</v>
      </c>
      <c r="D1" s="63" t="s">
        <v>348</v>
      </c>
      <c r="E1" s="89" t="s">
        <v>349</v>
      </c>
    </row>
    <row r="2" spans="1:5" x14ac:dyDescent="0.25">
      <c r="A2" s="52" t="s">
        <v>108</v>
      </c>
      <c r="B2" s="69">
        <v>25</v>
      </c>
      <c r="C2" s="69"/>
      <c r="D2" s="90">
        <f>C2-B2</f>
        <v>-25</v>
      </c>
      <c r="E2" s="91" t="str">
        <f>IFERROR(D2/C2,"Aguardando valor")</f>
        <v>Aguardando valor</v>
      </c>
    </row>
    <row r="3" spans="1:5" x14ac:dyDescent="0.25">
      <c r="A3" s="52" t="s">
        <v>328</v>
      </c>
      <c r="B3" s="69">
        <v>80</v>
      </c>
      <c r="C3" s="69"/>
      <c r="D3" s="90">
        <f t="shared" ref="D3:D9" si="0">C3-B3</f>
        <v>-80</v>
      </c>
      <c r="E3" s="91" t="str">
        <f t="shared" ref="E3:E9" si="1">IFERROR(D3/C3,"Aguardando valor")</f>
        <v>Aguardando valor</v>
      </c>
    </row>
    <row r="4" spans="1:5" x14ac:dyDescent="0.25">
      <c r="A4" s="52" t="s">
        <v>110</v>
      </c>
      <c r="B4" s="69">
        <v>350</v>
      </c>
      <c r="C4" s="69">
        <v>550</v>
      </c>
      <c r="D4" s="90">
        <f t="shared" si="0"/>
        <v>200</v>
      </c>
      <c r="E4" s="91">
        <f t="shared" si="1"/>
        <v>0.36363636363636365</v>
      </c>
    </row>
    <row r="5" spans="1:5" x14ac:dyDescent="0.25">
      <c r="A5" s="52" t="s">
        <v>109</v>
      </c>
      <c r="B5" s="69">
        <v>15</v>
      </c>
      <c r="C5" s="69">
        <v>22</v>
      </c>
      <c r="D5" s="90">
        <f t="shared" si="0"/>
        <v>7</v>
      </c>
      <c r="E5" s="91">
        <f t="shared" si="1"/>
        <v>0.31818181818181818</v>
      </c>
    </row>
    <row r="6" spans="1:5" x14ac:dyDescent="0.25">
      <c r="A6" s="52" t="s">
        <v>350</v>
      </c>
      <c r="B6" s="69">
        <v>240</v>
      </c>
      <c r="C6" s="69">
        <v>290</v>
      </c>
      <c r="D6" s="90">
        <f t="shared" si="0"/>
        <v>50</v>
      </c>
      <c r="E6" s="91">
        <f t="shared" si="1"/>
        <v>0.17241379310344829</v>
      </c>
    </row>
    <row r="7" spans="1:5" x14ac:dyDescent="0.25">
      <c r="A7" s="52" t="s">
        <v>351</v>
      </c>
      <c r="B7" s="69">
        <v>70</v>
      </c>
      <c r="C7" s="69">
        <v>85</v>
      </c>
      <c r="D7" s="90">
        <f t="shared" si="0"/>
        <v>15</v>
      </c>
      <c r="E7" s="91">
        <f t="shared" si="1"/>
        <v>0.17647058823529413</v>
      </c>
    </row>
    <row r="8" spans="1:5" x14ac:dyDescent="0.25">
      <c r="A8" s="52" t="s">
        <v>352</v>
      </c>
      <c r="B8" s="69">
        <v>150</v>
      </c>
      <c r="C8" s="69">
        <v>220</v>
      </c>
      <c r="D8" s="90">
        <f t="shared" si="0"/>
        <v>70</v>
      </c>
      <c r="E8" s="91">
        <f t="shared" si="1"/>
        <v>0.31818181818181818</v>
      </c>
    </row>
    <row r="9" spans="1:5" x14ac:dyDescent="0.25">
      <c r="A9" s="52" t="s">
        <v>353</v>
      </c>
      <c r="B9" s="69">
        <v>500</v>
      </c>
      <c r="C9" s="69">
        <v>510</v>
      </c>
      <c r="D9" s="90">
        <f t="shared" si="0"/>
        <v>10</v>
      </c>
      <c r="E9" s="91">
        <f t="shared" si="1"/>
        <v>1.9607843137254902E-2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28"/>
  <sheetViews>
    <sheetView topLeftCell="A16" workbookViewId="0">
      <selection activeCell="D30" sqref="D30"/>
    </sheetView>
  </sheetViews>
  <sheetFormatPr defaultRowHeight="15" x14ac:dyDescent="0.25"/>
  <cols>
    <col min="1" max="1" width="19.140625" customWidth="1"/>
    <col min="2" max="2" width="19" customWidth="1"/>
    <col min="3" max="3" width="18.42578125" customWidth="1"/>
    <col min="4" max="4" width="11.42578125" customWidth="1"/>
  </cols>
  <sheetData>
    <row r="1" spans="1:6" ht="24.75" customHeight="1" x14ac:dyDescent="0.25">
      <c r="A1" s="7" t="s">
        <v>354</v>
      </c>
      <c r="B1" s="7" t="s">
        <v>38</v>
      </c>
      <c r="C1" s="7" t="s">
        <v>60</v>
      </c>
    </row>
    <row r="2" spans="1:6" x14ac:dyDescent="0.25">
      <c r="A2" s="52">
        <v>1</v>
      </c>
      <c r="B2" s="52" t="s">
        <v>355</v>
      </c>
      <c r="C2" s="69">
        <v>50</v>
      </c>
    </row>
    <row r="3" spans="1:6" x14ac:dyDescent="0.25">
      <c r="A3" s="52">
        <v>2</v>
      </c>
      <c r="B3" s="52" t="s">
        <v>356</v>
      </c>
      <c r="C3" s="69">
        <v>15</v>
      </c>
    </row>
    <row r="4" spans="1:6" x14ac:dyDescent="0.25">
      <c r="A4" s="52">
        <v>3</v>
      </c>
      <c r="B4" s="52" t="s">
        <v>357</v>
      </c>
      <c r="C4" s="69">
        <v>70</v>
      </c>
    </row>
    <row r="5" spans="1:6" x14ac:dyDescent="0.25">
      <c r="A5" s="52">
        <v>4</v>
      </c>
      <c r="B5" s="52" t="s">
        <v>358</v>
      </c>
      <c r="C5" s="69">
        <v>25</v>
      </c>
    </row>
    <row r="8" spans="1:6" x14ac:dyDescent="0.25">
      <c r="A8" s="52" t="s">
        <v>354</v>
      </c>
      <c r="B8" s="53" t="s">
        <v>60</v>
      </c>
    </row>
    <row r="9" spans="1:6" x14ac:dyDescent="0.25">
      <c r="A9" s="52">
        <v>1</v>
      </c>
      <c r="B9" s="69">
        <f>CHOOSE(A9,C2,C3,C4,C5)</f>
        <v>50</v>
      </c>
    </row>
    <row r="10" spans="1:6" x14ac:dyDescent="0.25">
      <c r="A10" s="52">
        <v>1</v>
      </c>
      <c r="B10" s="69">
        <f>CHOOSE(A10,C2,C3,C4,C5)</f>
        <v>50</v>
      </c>
    </row>
    <row r="11" spans="1:6" x14ac:dyDescent="0.25">
      <c r="A11" s="52">
        <v>2</v>
      </c>
      <c r="B11" s="69">
        <f t="shared" ref="B11" si="0">CHOOSE(A11,C3,C4,C5,C6)</f>
        <v>70</v>
      </c>
    </row>
    <row r="12" spans="1:6" x14ac:dyDescent="0.25">
      <c r="A12" s="52">
        <v>3</v>
      </c>
      <c r="B12" s="69">
        <f>CHOOSE(A12,C2,C3,C5,C4)</f>
        <v>25</v>
      </c>
    </row>
    <row r="13" spans="1:6" x14ac:dyDescent="0.25">
      <c r="B13" s="47">
        <f>SUM(B9:B12)</f>
        <v>195</v>
      </c>
    </row>
    <row r="16" spans="1:6" x14ac:dyDescent="0.25">
      <c r="A16" s="218" t="s">
        <v>359</v>
      </c>
      <c r="B16" s="218"/>
      <c r="C16" s="218"/>
      <c r="D16" s="218"/>
      <c r="E16" s="218"/>
      <c r="F16" s="218"/>
    </row>
    <row r="17" spans="1:5" ht="28.5" customHeight="1" x14ac:dyDescent="0.25">
      <c r="A17" s="93" t="s">
        <v>360</v>
      </c>
      <c r="B17" s="93" t="s">
        <v>361</v>
      </c>
      <c r="C17" s="93" t="s">
        <v>362</v>
      </c>
      <c r="D17" s="94" t="s">
        <v>363</v>
      </c>
      <c r="E17" s="94" t="s">
        <v>364</v>
      </c>
    </row>
    <row r="18" spans="1:5" x14ac:dyDescent="0.25">
      <c r="A18" s="92">
        <f ca="1">TODAY()</f>
        <v>44913</v>
      </c>
      <c r="B18" s="95">
        <f ca="1">NOW()</f>
        <v>44913.725087500003</v>
      </c>
      <c r="C18" s="52">
        <f ca="1">DAY(B18)</f>
        <v>18</v>
      </c>
      <c r="D18" s="52">
        <f ca="1">MONTH(B18)</f>
        <v>12</v>
      </c>
      <c r="E18" s="52">
        <f ca="1">YEAR(B18)</f>
        <v>2022</v>
      </c>
    </row>
    <row r="19" spans="1:5" x14ac:dyDescent="0.25">
      <c r="A19" s="97"/>
      <c r="B19" s="95"/>
      <c r="C19" s="98"/>
      <c r="D19" s="98"/>
      <c r="E19" s="98"/>
    </row>
    <row r="20" spans="1:5" x14ac:dyDescent="0.25">
      <c r="A20" s="96" t="s">
        <v>365</v>
      </c>
      <c r="B20" s="92">
        <v>29944</v>
      </c>
    </row>
    <row r="21" spans="1:5" x14ac:dyDescent="0.25">
      <c r="A21" s="5"/>
    </row>
    <row r="22" spans="1:5" ht="29.25" customHeight="1" x14ac:dyDescent="0.25">
      <c r="A22" s="94" t="s">
        <v>366</v>
      </c>
      <c r="B22" s="94" t="s">
        <v>362</v>
      </c>
      <c r="C22" s="94" t="s">
        <v>367</v>
      </c>
      <c r="D22" s="94" t="s">
        <v>368</v>
      </c>
    </row>
    <row r="23" spans="1:5" x14ac:dyDescent="0.25">
      <c r="A23" s="13">
        <f>WEEKDAY(B20)</f>
        <v>5</v>
      </c>
      <c r="B23" s="52">
        <f ca="1">HOUR(B18)</f>
        <v>17</v>
      </c>
      <c r="C23" s="52">
        <f ca="1">MINUTE(B18)</f>
        <v>24</v>
      </c>
      <c r="D23" s="52">
        <f ca="1">SECOND(B18)</f>
        <v>8</v>
      </c>
    </row>
    <row r="24" spans="1:5" x14ac:dyDescent="0.25">
      <c r="A24" s="13"/>
      <c r="B24" s="98"/>
      <c r="C24" s="98"/>
      <c r="D24" s="98"/>
    </row>
    <row r="25" spans="1:5" ht="30.75" customHeight="1" x14ac:dyDescent="0.25">
      <c r="A25" s="94" t="s">
        <v>369</v>
      </c>
      <c r="B25" s="52" t="str">
        <f>CHOOSE(WEEKDAY(A23),"Dom","Seg","Ter","Quar","Quin","Sex","Sáb")</f>
        <v>Quin</v>
      </c>
    </row>
    <row r="26" spans="1:5" x14ac:dyDescent="0.25">
      <c r="A26" s="5"/>
    </row>
    <row r="27" spans="1:5" ht="29.25" customHeight="1" x14ac:dyDescent="0.25">
      <c r="A27" s="94" t="s">
        <v>370</v>
      </c>
      <c r="B27" s="52" t="str">
        <f>IF(A23=0,"Dom",IF(A23=1,"Seg",IF(A23=2,"Ter",IF(A23=3,"Quarta",IF(A23=4,"Quinta",IF(A23=5,"Sexta",IF(A23=6,"Sábado")))))))</f>
        <v>Sexta</v>
      </c>
    </row>
    <row r="28" spans="1:5" x14ac:dyDescent="0.25">
      <c r="A28" s="5"/>
    </row>
  </sheetData>
  <mergeCells count="1">
    <mergeCell ref="A16:F16"/>
  </mergeCells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topLeftCell="B1" workbookViewId="0">
      <selection activeCell="J14" sqref="J14"/>
    </sheetView>
  </sheetViews>
  <sheetFormatPr defaultRowHeight="15" x14ac:dyDescent="0.25"/>
  <cols>
    <col min="2" max="2" width="8.5703125" bestFit="1" customWidth="1"/>
    <col min="3" max="3" width="10.5703125" bestFit="1" customWidth="1"/>
    <col min="4" max="4" width="7.7109375" bestFit="1" customWidth="1"/>
    <col min="5" max="5" width="6.5703125" bestFit="1" customWidth="1"/>
  </cols>
  <sheetData>
    <row r="1" spans="1:5" ht="27" customHeight="1" x14ac:dyDescent="0.25">
      <c r="A1" s="219" t="s">
        <v>371</v>
      </c>
      <c r="B1" s="219"/>
      <c r="C1" s="219"/>
      <c r="D1" s="219"/>
      <c r="E1" s="219"/>
    </row>
    <row r="2" spans="1:5" x14ac:dyDescent="0.25">
      <c r="A2" s="105" t="s">
        <v>372</v>
      </c>
      <c r="B2" s="105" t="s">
        <v>373</v>
      </c>
      <c r="C2" s="105" t="s">
        <v>374</v>
      </c>
      <c r="D2" s="105" t="s">
        <v>375</v>
      </c>
      <c r="E2" s="105" t="s">
        <v>166</v>
      </c>
    </row>
    <row r="3" spans="1:5" x14ac:dyDescent="0.25">
      <c r="A3" s="71" t="s">
        <v>376</v>
      </c>
      <c r="B3" s="99">
        <v>12</v>
      </c>
      <c r="C3" s="99">
        <v>8</v>
      </c>
      <c r="D3" s="99">
        <v>3</v>
      </c>
      <c r="E3" s="99">
        <f>SUM(B3:D3)</f>
        <v>23</v>
      </c>
    </row>
    <row r="4" spans="1:5" x14ac:dyDescent="0.25">
      <c r="A4" s="71" t="s">
        <v>377</v>
      </c>
      <c r="B4" s="99">
        <v>5</v>
      </c>
      <c r="C4" s="99">
        <v>9</v>
      </c>
      <c r="D4" s="99">
        <v>2</v>
      </c>
      <c r="E4" s="99">
        <f t="shared" ref="E4:E8" si="0">SUM(B4:D4)</f>
        <v>16</v>
      </c>
    </row>
    <row r="5" spans="1:5" x14ac:dyDescent="0.25">
      <c r="A5" s="71" t="s">
        <v>378</v>
      </c>
      <c r="B5" s="99">
        <v>9</v>
      </c>
      <c r="C5" s="99">
        <v>16</v>
      </c>
      <c r="D5" s="99">
        <v>16</v>
      </c>
      <c r="E5" s="99">
        <f t="shared" si="0"/>
        <v>41</v>
      </c>
    </row>
    <row r="6" spans="1:5" x14ac:dyDescent="0.25">
      <c r="A6" s="71" t="s">
        <v>379</v>
      </c>
      <c r="B6" s="99">
        <v>10</v>
      </c>
      <c r="C6" s="99">
        <v>14</v>
      </c>
      <c r="D6" s="99">
        <v>15</v>
      </c>
      <c r="E6" s="99">
        <f t="shared" si="0"/>
        <v>39</v>
      </c>
    </row>
    <row r="7" spans="1:5" x14ac:dyDescent="0.25">
      <c r="A7" s="71" t="s">
        <v>380</v>
      </c>
      <c r="B7" s="99">
        <v>20</v>
      </c>
      <c r="C7" s="99">
        <v>5</v>
      </c>
      <c r="D7" s="99">
        <v>10</v>
      </c>
      <c r="E7" s="99">
        <f t="shared" si="0"/>
        <v>35</v>
      </c>
    </row>
    <row r="8" spans="1:5" x14ac:dyDescent="0.25">
      <c r="A8" s="71" t="s">
        <v>381</v>
      </c>
      <c r="B8" s="99">
        <v>1</v>
      </c>
      <c r="C8" s="99">
        <v>2</v>
      </c>
      <c r="D8" s="99">
        <v>8</v>
      </c>
      <c r="E8" s="99">
        <f t="shared" si="0"/>
        <v>11</v>
      </c>
    </row>
    <row r="9" spans="1:5" x14ac:dyDescent="0.25">
      <c r="D9" s="100" t="s">
        <v>382</v>
      </c>
      <c r="E9" s="100">
        <f>SUM(E3:E8)</f>
        <v>165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"/>
  <sheetViews>
    <sheetView workbookViewId="0">
      <selection activeCell="E18" sqref="E18:G21"/>
    </sheetView>
  </sheetViews>
  <sheetFormatPr defaultRowHeight="15" x14ac:dyDescent="0.25"/>
  <cols>
    <col min="1" max="1" width="12" bestFit="1" customWidth="1"/>
    <col min="2" max="2" width="17.42578125" bestFit="1" customWidth="1"/>
    <col min="3" max="3" width="18.42578125" bestFit="1" customWidth="1"/>
    <col min="4" max="4" width="17" bestFit="1" customWidth="1"/>
    <col min="5" max="5" width="13.85546875" bestFit="1" customWidth="1"/>
    <col min="7" max="7" width="10.85546875" bestFit="1" customWidth="1"/>
    <col min="8" max="8" width="22.140625" bestFit="1" customWidth="1"/>
  </cols>
  <sheetData>
    <row r="1" spans="1:8" x14ac:dyDescent="0.25">
      <c r="A1" s="106" t="s">
        <v>383</v>
      </c>
      <c r="B1" s="106" t="s">
        <v>106</v>
      </c>
      <c r="C1" s="106" t="s">
        <v>384</v>
      </c>
      <c r="D1" s="106" t="s">
        <v>385</v>
      </c>
      <c r="E1" s="106" t="s">
        <v>386</v>
      </c>
      <c r="G1" s="106" t="s">
        <v>106</v>
      </c>
      <c r="H1" s="106" t="s">
        <v>393</v>
      </c>
    </row>
    <row r="2" spans="1:8" x14ac:dyDescent="0.25">
      <c r="A2" s="107">
        <v>1</v>
      </c>
      <c r="B2" s="107" t="s">
        <v>387</v>
      </c>
      <c r="C2" s="108">
        <v>1300</v>
      </c>
      <c r="D2" s="109">
        <v>0.1</v>
      </c>
      <c r="E2" s="110">
        <f>C2+(C2*D2)</f>
        <v>1430</v>
      </c>
      <c r="G2" s="5" t="s">
        <v>392</v>
      </c>
      <c r="H2" s="99">
        <f>IFERROR(MATCH(G2,B2:B7,0),"Insira nome do produto")</f>
        <v>6</v>
      </c>
    </row>
    <row r="3" spans="1:8" x14ac:dyDescent="0.25">
      <c r="A3" s="107">
        <v>2</v>
      </c>
      <c r="B3" s="107" t="s">
        <v>388</v>
      </c>
      <c r="C3" s="108">
        <v>5000</v>
      </c>
      <c r="D3" s="109">
        <v>0.05</v>
      </c>
      <c r="E3" s="110">
        <f t="shared" ref="E3:E7" si="0">C3+(C3*D3)</f>
        <v>5250</v>
      </c>
    </row>
    <row r="4" spans="1:8" x14ac:dyDescent="0.25">
      <c r="A4" s="107">
        <v>3</v>
      </c>
      <c r="B4" s="107" t="s">
        <v>389</v>
      </c>
      <c r="C4" s="108">
        <v>900</v>
      </c>
      <c r="D4" s="109">
        <v>0.08</v>
      </c>
      <c r="E4" s="110">
        <f t="shared" si="0"/>
        <v>972</v>
      </c>
      <c r="G4" s="106" t="s">
        <v>394</v>
      </c>
      <c r="H4" s="106" t="s">
        <v>395</v>
      </c>
    </row>
    <row r="5" spans="1:8" x14ac:dyDescent="0.25">
      <c r="A5" s="107">
        <v>4</v>
      </c>
      <c r="B5" s="107" t="s">
        <v>390</v>
      </c>
      <c r="C5" s="108">
        <v>2500</v>
      </c>
      <c r="D5" s="109">
        <v>0.12</v>
      </c>
      <c r="E5" s="110">
        <f t="shared" si="0"/>
        <v>2800</v>
      </c>
      <c r="G5" s="5" t="s">
        <v>396</v>
      </c>
      <c r="H5" s="99">
        <f>IFERROR(MATCH(G5,A1:E1,0),"Insira o Título")</f>
        <v>5</v>
      </c>
    </row>
    <row r="6" spans="1:8" x14ac:dyDescent="0.25">
      <c r="A6" s="107">
        <v>5</v>
      </c>
      <c r="B6" s="107" t="s">
        <v>391</v>
      </c>
      <c r="C6" s="108">
        <v>6500</v>
      </c>
      <c r="D6" s="109">
        <v>0.04</v>
      </c>
      <c r="E6" s="110">
        <f t="shared" si="0"/>
        <v>6760</v>
      </c>
    </row>
    <row r="7" spans="1:8" x14ac:dyDescent="0.25">
      <c r="A7" s="107">
        <v>6</v>
      </c>
      <c r="B7" s="107" t="s">
        <v>392</v>
      </c>
      <c r="C7" s="108">
        <v>2600</v>
      </c>
      <c r="D7" s="109">
        <v>0.09</v>
      </c>
      <c r="E7" s="110">
        <f t="shared" si="0"/>
        <v>2834</v>
      </c>
    </row>
    <row r="11" spans="1:8" x14ac:dyDescent="0.25">
      <c r="A11" s="220" t="s">
        <v>397</v>
      </c>
      <c r="B11" s="220"/>
      <c r="C11" s="220"/>
      <c r="D11" s="220"/>
      <c r="E11" s="220"/>
      <c r="F11" s="220"/>
      <c r="G11" s="220"/>
      <c r="H11" s="220"/>
    </row>
    <row r="12" spans="1:8" x14ac:dyDescent="0.25">
      <c r="A12" s="114" t="s">
        <v>106</v>
      </c>
      <c r="B12" s="114" t="s">
        <v>398</v>
      </c>
      <c r="C12" s="114" t="s">
        <v>399</v>
      </c>
      <c r="D12" s="114" t="s">
        <v>400</v>
      </c>
    </row>
    <row r="13" spans="1:8" x14ac:dyDescent="0.25">
      <c r="A13" s="101" t="s">
        <v>403</v>
      </c>
      <c r="B13" s="69">
        <v>1500</v>
      </c>
      <c r="C13" s="69">
        <v>1800</v>
      </c>
      <c r="D13" s="69">
        <v>2000</v>
      </c>
    </row>
    <row r="14" spans="1:8" x14ac:dyDescent="0.25">
      <c r="A14" s="101" t="s">
        <v>387</v>
      </c>
      <c r="B14" s="69">
        <v>1300</v>
      </c>
      <c r="C14" s="69">
        <v>1600</v>
      </c>
      <c r="D14" s="69">
        <v>1800</v>
      </c>
    </row>
    <row r="15" spans="1:8" x14ac:dyDescent="0.25">
      <c r="A15" s="101" t="s">
        <v>388</v>
      </c>
      <c r="B15" s="69">
        <v>3500</v>
      </c>
      <c r="C15" s="69">
        <v>4200</v>
      </c>
      <c r="D15" s="69">
        <v>5000</v>
      </c>
    </row>
    <row r="18" spans="1:7" x14ac:dyDescent="0.25">
      <c r="A18" s="221" t="s">
        <v>401</v>
      </c>
      <c r="B18" s="221"/>
      <c r="C18" s="221"/>
      <c r="E18" s="222" t="s">
        <v>404</v>
      </c>
      <c r="F18" s="222"/>
      <c r="G18" s="222"/>
    </row>
    <row r="19" spans="1:7" x14ac:dyDescent="0.25">
      <c r="A19" s="104" t="s">
        <v>106</v>
      </c>
      <c r="B19" s="104" t="s">
        <v>402</v>
      </c>
      <c r="C19" s="104" t="s">
        <v>207</v>
      </c>
      <c r="E19" s="222"/>
      <c r="F19" s="222"/>
      <c r="G19" s="222"/>
    </row>
    <row r="20" spans="1:7" x14ac:dyDescent="0.25">
      <c r="A20" s="71"/>
      <c r="B20" s="71" t="s">
        <v>398</v>
      </c>
      <c r="C20" s="72" t="str">
        <f>IFERROR(VLOOKUP(A20,A12:D15,MATCH(B20,A12:D12,0)),"Escolha o Produto")</f>
        <v>Escolha o Produto</v>
      </c>
      <c r="E20" s="222"/>
      <c r="F20" s="222"/>
      <c r="G20" s="222"/>
    </row>
    <row r="21" spans="1:7" x14ac:dyDescent="0.25">
      <c r="E21" s="222"/>
      <c r="F21" s="222"/>
      <c r="G21" s="222"/>
    </row>
  </sheetData>
  <mergeCells count="3">
    <mergeCell ref="A11:H11"/>
    <mergeCell ref="A18:C18"/>
    <mergeCell ref="E18:G21"/>
  </mergeCells>
  <dataValidations count="3">
    <dataValidation type="list" allowBlank="1" showInputMessage="1" showErrorMessage="1" sqref="G2">
      <formula1>$B$2:$B$7</formula1>
    </dataValidation>
    <dataValidation type="list" allowBlank="1" showInputMessage="1" showErrorMessage="1" sqref="A20">
      <formula1>$A$13:$A$15</formula1>
    </dataValidation>
    <dataValidation type="list" allowBlank="1" showInputMessage="1" showErrorMessage="1" sqref="B20">
      <formula1>$B$12:$D$12</formula1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49"/>
  <sheetViews>
    <sheetView topLeftCell="A32" workbookViewId="0">
      <selection activeCell="A32" sqref="A32:D46"/>
    </sheetView>
  </sheetViews>
  <sheetFormatPr defaultRowHeight="15" x14ac:dyDescent="0.25"/>
  <cols>
    <col min="1" max="1" width="11.5703125" customWidth="1"/>
    <col min="2" max="2" width="12.140625" bestFit="1" customWidth="1"/>
    <col min="3" max="3" width="14" customWidth="1"/>
    <col min="4" max="4" width="29.28515625" bestFit="1" customWidth="1"/>
    <col min="5" max="5" width="13.42578125" bestFit="1" customWidth="1"/>
    <col min="6" max="6" width="16.28515625" bestFit="1" customWidth="1"/>
  </cols>
  <sheetData>
    <row r="1" spans="1:7" x14ac:dyDescent="0.25">
      <c r="A1" s="115" t="s">
        <v>405</v>
      </c>
      <c r="C1" s="117" t="s">
        <v>407</v>
      </c>
      <c r="D1" s="117" t="s">
        <v>406</v>
      </c>
      <c r="F1" s="117" t="s">
        <v>61</v>
      </c>
      <c r="G1" s="117">
        <f>SUM(C3:C12)</f>
        <v>3</v>
      </c>
    </row>
    <row r="3" spans="1:7" x14ac:dyDescent="0.25">
      <c r="A3" s="115" t="s">
        <v>180</v>
      </c>
      <c r="C3" s="118">
        <f t="array" ref="C3:C12">(A3:A12=D1)*1</f>
        <v>0</v>
      </c>
      <c r="D3" s="122" t="str">
        <f>IF(C3=0,"Não há cadastro nessa pesquisa","Encontrado")</f>
        <v>Não há cadastro nessa pesquisa</v>
      </c>
    </row>
    <row r="4" spans="1:7" x14ac:dyDescent="0.25">
      <c r="A4" s="115" t="s">
        <v>242</v>
      </c>
      <c r="C4" s="118">
        <v>0</v>
      </c>
      <c r="D4" s="122" t="str">
        <f t="shared" ref="D4:D12" si="0">IF(C4=0,"Não há cadastro nessa pesquisa","Encontrado")</f>
        <v>Não há cadastro nessa pesquisa</v>
      </c>
    </row>
    <row r="5" spans="1:7" x14ac:dyDescent="0.25">
      <c r="A5" s="115" t="s">
        <v>241</v>
      </c>
      <c r="C5" s="118">
        <v>1</v>
      </c>
      <c r="D5" s="122" t="str">
        <f t="shared" si="0"/>
        <v>Encontrado</v>
      </c>
    </row>
    <row r="6" spans="1:7" x14ac:dyDescent="0.25">
      <c r="A6" s="115" t="s">
        <v>180</v>
      </c>
      <c r="C6" s="118">
        <v>0</v>
      </c>
      <c r="D6" s="122" t="str">
        <f t="shared" si="0"/>
        <v>Não há cadastro nessa pesquisa</v>
      </c>
    </row>
    <row r="7" spans="1:7" x14ac:dyDescent="0.25">
      <c r="A7" s="115" t="s">
        <v>180</v>
      </c>
      <c r="C7" s="118">
        <v>0</v>
      </c>
      <c r="D7" s="122" t="str">
        <f t="shared" si="0"/>
        <v>Não há cadastro nessa pesquisa</v>
      </c>
    </row>
    <row r="8" spans="1:7" x14ac:dyDescent="0.25">
      <c r="A8" s="115" t="s">
        <v>241</v>
      </c>
      <c r="C8" s="118">
        <v>1</v>
      </c>
      <c r="D8" s="122" t="str">
        <f t="shared" si="0"/>
        <v>Encontrado</v>
      </c>
    </row>
    <row r="9" spans="1:7" x14ac:dyDescent="0.25">
      <c r="A9" s="115" t="s">
        <v>242</v>
      </c>
      <c r="C9" s="118">
        <v>0</v>
      </c>
      <c r="D9" s="122" t="str">
        <f t="shared" si="0"/>
        <v>Não há cadastro nessa pesquisa</v>
      </c>
    </row>
    <row r="10" spans="1:7" x14ac:dyDescent="0.25">
      <c r="A10" s="115" t="s">
        <v>180</v>
      </c>
      <c r="C10" s="118">
        <v>0</v>
      </c>
      <c r="D10" s="122" t="str">
        <f t="shared" si="0"/>
        <v>Não há cadastro nessa pesquisa</v>
      </c>
    </row>
    <row r="11" spans="1:7" x14ac:dyDescent="0.25">
      <c r="A11" s="115" t="s">
        <v>242</v>
      </c>
      <c r="C11" s="118">
        <v>0</v>
      </c>
      <c r="D11" s="122" t="str">
        <f t="shared" si="0"/>
        <v>Não há cadastro nessa pesquisa</v>
      </c>
    </row>
    <row r="12" spans="1:7" x14ac:dyDescent="0.25">
      <c r="A12" s="115" t="s">
        <v>241</v>
      </c>
      <c r="C12" s="118">
        <v>1</v>
      </c>
      <c r="D12" s="122" t="str">
        <f t="shared" si="0"/>
        <v>Encontrado</v>
      </c>
    </row>
    <row r="14" spans="1:7" x14ac:dyDescent="0.25">
      <c r="A14" s="226" t="s">
        <v>408</v>
      </c>
      <c r="B14" s="226"/>
      <c r="C14" s="116"/>
      <c r="D14" s="116"/>
    </row>
    <row r="15" spans="1:7" x14ac:dyDescent="0.25">
      <c r="A15" s="226" t="s">
        <v>409</v>
      </c>
      <c r="B15" s="226"/>
      <c r="C15" s="226"/>
      <c r="D15" s="226"/>
    </row>
    <row r="16" spans="1:7" x14ac:dyDescent="0.25">
      <c r="A16" s="226" t="s">
        <v>410</v>
      </c>
      <c r="B16" s="226"/>
    </row>
    <row r="17" spans="1:7" x14ac:dyDescent="0.25">
      <c r="A17" s="226" t="s">
        <v>411</v>
      </c>
      <c r="B17" s="226"/>
    </row>
    <row r="19" spans="1:7" x14ac:dyDescent="0.25">
      <c r="A19" s="224" t="s">
        <v>412</v>
      </c>
      <c r="B19" s="224"/>
      <c r="C19" s="224"/>
      <c r="D19" s="224"/>
      <c r="E19" s="224"/>
      <c r="F19" s="224"/>
      <c r="G19" s="224"/>
    </row>
    <row r="20" spans="1:7" x14ac:dyDescent="0.25">
      <c r="A20" s="120" t="s">
        <v>150</v>
      </c>
      <c r="B20" s="120" t="s">
        <v>39</v>
      </c>
      <c r="C20" s="120" t="s">
        <v>61</v>
      </c>
      <c r="D20" s="120" t="s">
        <v>63</v>
      </c>
      <c r="E20" s="120" t="s">
        <v>413</v>
      </c>
      <c r="F20" s="225" t="s">
        <v>414</v>
      </c>
      <c r="G20" s="225"/>
    </row>
    <row r="21" spans="1:7" x14ac:dyDescent="0.25">
      <c r="A21" s="71" t="s">
        <v>108</v>
      </c>
      <c r="B21" s="72">
        <v>25</v>
      </c>
      <c r="C21" s="101">
        <v>50</v>
      </c>
      <c r="D21" s="47">
        <f>B21*C21</f>
        <v>1250</v>
      </c>
      <c r="E21" s="101" t="str">
        <f t="shared" ref="E21:E26" si="1">A21:A26</f>
        <v>Teclado</v>
      </c>
      <c r="F21" s="101" t="str">
        <f t="array" ref="F21:F26">A21:A26</f>
        <v>Teclado</v>
      </c>
      <c r="G21" s="119"/>
    </row>
    <row r="22" spans="1:7" x14ac:dyDescent="0.25">
      <c r="A22" s="71" t="s">
        <v>329</v>
      </c>
      <c r="B22" s="72">
        <v>120</v>
      </c>
      <c r="C22" s="101">
        <v>10</v>
      </c>
      <c r="D22" s="47">
        <f t="shared" ref="D22:D26" si="2">B22*C22</f>
        <v>1200</v>
      </c>
      <c r="E22" s="101" t="str">
        <f t="shared" si="1"/>
        <v>Gabinete</v>
      </c>
      <c r="F22" s="101" t="str">
        <v>Gabinete</v>
      </c>
      <c r="G22" s="119"/>
    </row>
    <row r="23" spans="1:7" x14ac:dyDescent="0.25">
      <c r="A23" s="71" t="s">
        <v>109</v>
      </c>
      <c r="B23" s="72">
        <v>15</v>
      </c>
      <c r="C23" s="101">
        <v>200</v>
      </c>
      <c r="D23" s="47">
        <f t="shared" si="2"/>
        <v>3000</v>
      </c>
      <c r="E23" s="101" t="str">
        <f t="shared" si="1"/>
        <v>Mouse</v>
      </c>
      <c r="F23" s="101" t="str">
        <v>Mouse</v>
      </c>
      <c r="G23" s="119"/>
    </row>
    <row r="24" spans="1:7" x14ac:dyDescent="0.25">
      <c r="A24" s="71" t="s">
        <v>350</v>
      </c>
      <c r="B24" s="72">
        <v>600</v>
      </c>
      <c r="C24" s="101">
        <v>5</v>
      </c>
      <c r="D24" s="47">
        <f t="shared" si="2"/>
        <v>3000</v>
      </c>
      <c r="E24" s="101" t="str">
        <f t="shared" si="1"/>
        <v>Cpu</v>
      </c>
      <c r="F24" s="101" t="str">
        <v>Cpu</v>
      </c>
      <c r="G24" s="119"/>
    </row>
    <row r="25" spans="1:7" x14ac:dyDescent="0.25">
      <c r="A25" s="71" t="s">
        <v>110</v>
      </c>
      <c r="B25" s="72">
        <v>400</v>
      </c>
      <c r="C25" s="101">
        <v>8</v>
      </c>
      <c r="D25" s="47">
        <f t="shared" si="2"/>
        <v>3200</v>
      </c>
      <c r="E25" s="101" t="str">
        <f t="shared" si="1"/>
        <v>Monitor</v>
      </c>
      <c r="F25" s="101" t="str">
        <v>Monitor</v>
      </c>
      <c r="G25" s="119"/>
    </row>
    <row r="26" spans="1:7" x14ac:dyDescent="0.25">
      <c r="A26" s="87" t="s">
        <v>352</v>
      </c>
      <c r="B26" s="72">
        <v>250</v>
      </c>
      <c r="C26" s="101">
        <v>12</v>
      </c>
      <c r="D26" s="47">
        <f t="shared" si="2"/>
        <v>3000</v>
      </c>
      <c r="E26" s="101" t="str">
        <f t="shared" si="1"/>
        <v>HD</v>
      </c>
      <c r="F26" s="101" t="str">
        <v>HD</v>
      </c>
      <c r="G26" s="119"/>
    </row>
    <row r="27" spans="1:7" x14ac:dyDescent="0.25">
      <c r="C27" s="101" t="s">
        <v>415</v>
      </c>
      <c r="D27" s="90">
        <f>SUM(D21:D26)</f>
        <v>14650</v>
      </c>
    </row>
    <row r="29" spans="1:7" x14ac:dyDescent="0.25">
      <c r="A29" s="223" t="s">
        <v>416</v>
      </c>
      <c r="B29" s="223"/>
      <c r="C29" s="72">
        <f t="array" ref="C29">SUM(B21:B26*C21:C26)</f>
        <v>14650</v>
      </c>
    </row>
    <row r="31" spans="1:7" x14ac:dyDescent="0.25">
      <c r="A31" s="223" t="s">
        <v>417</v>
      </c>
      <c r="B31" s="223"/>
      <c r="C31" s="223"/>
      <c r="D31" s="223"/>
      <c r="E31" s="223"/>
      <c r="F31" s="223"/>
    </row>
    <row r="32" spans="1:7" ht="31.5" customHeight="1" x14ac:dyDescent="0.25">
      <c r="A32" s="125" t="s">
        <v>137</v>
      </c>
      <c r="B32" s="125" t="s">
        <v>419</v>
      </c>
      <c r="C32" s="125" t="s">
        <v>420</v>
      </c>
      <c r="D32" s="123" t="s">
        <v>421</v>
      </c>
      <c r="E32" s="124"/>
      <c r="F32" s="124"/>
    </row>
    <row r="33" spans="1:6" x14ac:dyDescent="0.25">
      <c r="A33" s="71" t="s">
        <v>180</v>
      </c>
      <c r="B33" s="72">
        <v>3200</v>
      </c>
      <c r="C33" s="71" t="s">
        <v>422</v>
      </c>
      <c r="D33" s="101" t="s">
        <v>425</v>
      </c>
      <c r="E33" s="121"/>
      <c r="F33" s="121"/>
    </row>
    <row r="34" spans="1:6" x14ac:dyDescent="0.25">
      <c r="A34" s="71" t="s">
        <v>199</v>
      </c>
      <c r="B34" s="72">
        <v>1500</v>
      </c>
      <c r="C34" s="71" t="s">
        <v>423</v>
      </c>
      <c r="D34" s="101" t="s">
        <v>426</v>
      </c>
      <c r="E34" s="121"/>
      <c r="F34" s="121"/>
    </row>
    <row r="35" spans="1:6" x14ac:dyDescent="0.25">
      <c r="A35" s="71" t="s">
        <v>418</v>
      </c>
      <c r="B35" s="72">
        <v>1400</v>
      </c>
      <c r="C35" s="71" t="s">
        <v>424</v>
      </c>
      <c r="D35" s="101" t="s">
        <v>427</v>
      </c>
      <c r="E35" s="121"/>
      <c r="F35" s="121"/>
    </row>
    <row r="36" spans="1:6" x14ac:dyDescent="0.25">
      <c r="A36" s="71" t="s">
        <v>180</v>
      </c>
      <c r="B36" s="72">
        <v>2000</v>
      </c>
      <c r="C36" s="71" t="s">
        <v>422</v>
      </c>
      <c r="D36" s="101" t="s">
        <v>425</v>
      </c>
      <c r="E36" s="121"/>
      <c r="F36" s="121"/>
    </row>
    <row r="37" spans="1:6" x14ac:dyDescent="0.25">
      <c r="A37" s="71" t="s">
        <v>180</v>
      </c>
      <c r="B37" s="72">
        <v>1500</v>
      </c>
      <c r="C37" s="71" t="s">
        <v>424</v>
      </c>
      <c r="D37" s="101" t="s">
        <v>426</v>
      </c>
      <c r="E37" s="121"/>
      <c r="F37" s="121"/>
    </row>
    <row r="38" spans="1:6" x14ac:dyDescent="0.25">
      <c r="A38" s="71" t="s">
        <v>418</v>
      </c>
      <c r="B38" s="72">
        <v>850</v>
      </c>
      <c r="C38" s="71" t="s">
        <v>424</v>
      </c>
      <c r="D38" s="101" t="s">
        <v>427</v>
      </c>
      <c r="E38" s="121"/>
      <c r="F38" s="121"/>
    </row>
    <row r="39" spans="1:6" x14ac:dyDescent="0.25">
      <c r="A39" s="71" t="s">
        <v>418</v>
      </c>
      <c r="B39" s="72">
        <v>900</v>
      </c>
      <c r="C39" s="71" t="s">
        <v>422</v>
      </c>
      <c r="D39" s="101" t="s">
        <v>425</v>
      </c>
      <c r="E39" s="121"/>
      <c r="F39" s="121"/>
    </row>
    <row r="40" spans="1:6" x14ac:dyDescent="0.25">
      <c r="A40" s="71" t="s">
        <v>418</v>
      </c>
      <c r="B40" s="72">
        <v>1600</v>
      </c>
      <c r="C40" s="71" t="s">
        <v>423</v>
      </c>
      <c r="D40" s="101" t="s">
        <v>425</v>
      </c>
      <c r="E40" s="121"/>
      <c r="F40" s="121"/>
    </row>
    <row r="41" spans="1:6" x14ac:dyDescent="0.25">
      <c r="A41" s="71" t="s">
        <v>180</v>
      </c>
      <c r="B41" s="72">
        <v>4000</v>
      </c>
      <c r="C41" s="71" t="s">
        <v>422</v>
      </c>
      <c r="D41" s="101" t="s">
        <v>427</v>
      </c>
      <c r="E41" s="121"/>
      <c r="F41" s="121"/>
    </row>
    <row r="42" spans="1:6" x14ac:dyDescent="0.25">
      <c r="A42" s="71" t="s">
        <v>199</v>
      </c>
      <c r="B42" s="72">
        <v>3700</v>
      </c>
      <c r="C42" s="71" t="s">
        <v>423</v>
      </c>
      <c r="D42" s="101" t="s">
        <v>425</v>
      </c>
      <c r="E42" s="121"/>
      <c r="F42" s="121"/>
    </row>
    <row r="44" spans="1:6" x14ac:dyDescent="0.25">
      <c r="A44" s="102" t="s">
        <v>193</v>
      </c>
      <c r="B44" s="5" t="s">
        <v>199</v>
      </c>
    </row>
    <row r="45" spans="1:6" x14ac:dyDescent="0.25">
      <c r="A45" s="102" t="s">
        <v>420</v>
      </c>
      <c r="B45" s="5" t="s">
        <v>423</v>
      </c>
    </row>
    <row r="46" spans="1:6" x14ac:dyDescent="0.25">
      <c r="A46" s="102" t="s">
        <v>421</v>
      </c>
      <c r="B46" s="5" t="s">
        <v>425</v>
      </c>
    </row>
    <row r="48" spans="1:6" x14ac:dyDescent="0.25">
      <c r="A48" s="102" t="s">
        <v>428</v>
      </c>
      <c r="B48" s="102" t="s">
        <v>429</v>
      </c>
    </row>
    <row r="49" spans="1:1" x14ac:dyDescent="0.25">
      <c r="A49" t="e">
        <f>IF($B$44=$A$32:$A$42,)</f>
        <v>#VALUE!</v>
      </c>
    </row>
  </sheetData>
  <mergeCells count="8">
    <mergeCell ref="A29:B29"/>
    <mergeCell ref="A31:F31"/>
    <mergeCell ref="A19:G19"/>
    <mergeCell ref="F20:G20"/>
    <mergeCell ref="A14:B14"/>
    <mergeCell ref="A15:D15"/>
    <mergeCell ref="A16:B16"/>
    <mergeCell ref="A17:B17"/>
  </mergeCells>
  <conditionalFormatting sqref="G10">
    <cfRule type="cellIs" dxfId="5" priority="5" operator="equal">
      <formula>$D$3</formula>
    </cfRule>
  </conditionalFormatting>
  <conditionalFormatting sqref="D3:D12">
    <cfRule type="cellIs" dxfId="4" priority="1" operator="equal">
      <formula>"Não há cadastro nessa pesquisa"</formula>
    </cfRule>
    <cfRule type="cellIs" dxfId="3" priority="2" operator="equal">
      <formula>"Encontrado"</formula>
    </cfRule>
  </conditionalFormatting>
  <dataValidations disablePrompts="1" count="1">
    <dataValidation type="list" allowBlank="1" showInputMessage="1" showErrorMessage="1" sqref="B44">
      <formula1>$A$33:$A$35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"/>
  <sheetViews>
    <sheetView workbookViewId="0">
      <selection activeCell="J10" sqref="J10"/>
    </sheetView>
  </sheetViews>
  <sheetFormatPr defaultRowHeight="15" x14ac:dyDescent="0.25"/>
  <cols>
    <col min="3" max="3" width="13.42578125" bestFit="1" customWidth="1"/>
    <col min="4" max="4" width="10.42578125" bestFit="1" customWidth="1"/>
    <col min="5" max="5" width="13.28515625" bestFit="1" customWidth="1"/>
    <col min="9" max="9" width="10.5703125" bestFit="1" customWidth="1"/>
  </cols>
  <sheetData>
    <row r="1" spans="1:12" ht="23.25" customHeight="1" x14ac:dyDescent="0.25">
      <c r="A1" s="103" t="s">
        <v>78</v>
      </c>
      <c r="B1" s="103" t="s">
        <v>38</v>
      </c>
      <c r="C1" s="103" t="s">
        <v>230</v>
      </c>
      <c r="D1" s="103" t="s">
        <v>61</v>
      </c>
      <c r="E1" s="103" t="s">
        <v>430</v>
      </c>
    </row>
    <row r="2" spans="1:12" x14ac:dyDescent="0.25">
      <c r="A2" s="101">
        <v>1</v>
      </c>
      <c r="B2" s="101" t="s">
        <v>431</v>
      </c>
      <c r="C2" s="69">
        <v>15</v>
      </c>
      <c r="D2" s="128">
        <v>49.428410564666549</v>
      </c>
      <c r="E2" s="90">
        <f>C2*D2</f>
        <v>741.4261584699982</v>
      </c>
      <c r="G2" s="227" t="s">
        <v>440</v>
      </c>
      <c r="H2" s="227"/>
      <c r="I2" s="227"/>
      <c r="J2" s="227"/>
      <c r="K2" s="227"/>
      <c r="L2" s="227"/>
    </row>
    <row r="3" spans="1:12" x14ac:dyDescent="0.25">
      <c r="A3" s="101">
        <v>2</v>
      </c>
      <c r="B3" s="101" t="s">
        <v>432</v>
      </c>
      <c r="C3" s="69">
        <v>2</v>
      </c>
      <c r="D3" s="128">
        <v>492.37880752888736</v>
      </c>
      <c r="E3" s="90">
        <f t="shared" ref="E3:E12" si="0">C3*D3</f>
        <v>984.75761505777473</v>
      </c>
      <c r="G3" s="227"/>
      <c r="H3" s="227"/>
      <c r="I3" s="227"/>
      <c r="J3" s="227"/>
      <c r="K3" s="227"/>
      <c r="L3" s="227"/>
    </row>
    <row r="4" spans="1:12" x14ac:dyDescent="0.25">
      <c r="A4" s="101">
        <v>3</v>
      </c>
      <c r="B4" s="101" t="s">
        <v>108</v>
      </c>
      <c r="C4" s="69">
        <v>25</v>
      </c>
      <c r="D4" s="128">
        <v>77.561218561093469</v>
      </c>
      <c r="E4" s="90">
        <f t="shared" si="0"/>
        <v>1939.0304640273366</v>
      </c>
      <c r="G4" s="227"/>
      <c r="H4" s="227"/>
      <c r="I4" s="227"/>
      <c r="J4" s="227"/>
      <c r="K4" s="227"/>
      <c r="L4" s="227"/>
    </row>
    <row r="5" spans="1:12" x14ac:dyDescent="0.25">
      <c r="A5" s="101">
        <v>4</v>
      </c>
      <c r="B5" s="101" t="s">
        <v>109</v>
      </c>
      <c r="C5" s="69">
        <v>18</v>
      </c>
      <c r="D5" s="128">
        <v>143.82683426922947</v>
      </c>
      <c r="E5" s="90">
        <f t="shared" si="0"/>
        <v>2588.8830168461304</v>
      </c>
    </row>
    <row r="6" spans="1:12" x14ac:dyDescent="0.25">
      <c r="A6" s="101">
        <v>5</v>
      </c>
      <c r="B6" s="101" t="s">
        <v>433</v>
      </c>
      <c r="C6" s="69">
        <v>20</v>
      </c>
      <c r="D6" s="128">
        <v>9.9695152296410185</v>
      </c>
      <c r="E6" s="90">
        <f t="shared" si="0"/>
        <v>199.39030459282037</v>
      </c>
    </row>
    <row r="7" spans="1:12" x14ac:dyDescent="0.25">
      <c r="A7" s="101">
        <v>6</v>
      </c>
      <c r="B7" s="101" t="s">
        <v>434</v>
      </c>
      <c r="C7" s="69">
        <v>150</v>
      </c>
      <c r="D7" s="128">
        <v>23.571026482845838</v>
      </c>
      <c r="E7" s="90">
        <f t="shared" si="0"/>
        <v>3535.6539724268755</v>
      </c>
    </row>
    <row r="8" spans="1:12" x14ac:dyDescent="0.25">
      <c r="A8" s="101">
        <v>7</v>
      </c>
      <c r="B8" s="101" t="s">
        <v>110</v>
      </c>
      <c r="C8" s="69">
        <v>400</v>
      </c>
      <c r="D8" s="128">
        <v>7.6097949697749545</v>
      </c>
      <c r="E8" s="90">
        <f t="shared" si="0"/>
        <v>3043.917987909982</v>
      </c>
    </row>
    <row r="9" spans="1:12" x14ac:dyDescent="0.25">
      <c r="A9" s="101">
        <v>8</v>
      </c>
      <c r="B9" s="101" t="s">
        <v>435</v>
      </c>
      <c r="C9" s="69">
        <v>6</v>
      </c>
      <c r="D9" s="128">
        <v>196.3418278416402</v>
      </c>
      <c r="E9" s="90">
        <f t="shared" si="0"/>
        <v>1178.0509670498411</v>
      </c>
      <c r="H9" t="s">
        <v>441</v>
      </c>
      <c r="I9" t="s">
        <v>39</v>
      </c>
    </row>
    <row r="10" spans="1:12" x14ac:dyDescent="0.25">
      <c r="A10" s="101">
        <v>9</v>
      </c>
      <c r="B10" s="101" t="s">
        <v>436</v>
      </c>
      <c r="C10" s="69">
        <v>8</v>
      </c>
      <c r="D10" s="128">
        <v>15.968783596367199</v>
      </c>
      <c r="E10" s="90">
        <f t="shared" si="0"/>
        <v>127.75026877093759</v>
      </c>
      <c r="H10" t="s">
        <v>442</v>
      </c>
      <c r="I10" s="129">
        <v>311.49743056055587</v>
      </c>
    </row>
    <row r="11" spans="1:12" x14ac:dyDescent="0.25">
      <c r="A11" s="101">
        <v>10</v>
      </c>
      <c r="B11" s="101" t="s">
        <v>437</v>
      </c>
      <c r="C11" s="69">
        <v>1300</v>
      </c>
      <c r="D11" s="128">
        <v>4.5046224988682715</v>
      </c>
      <c r="E11" s="90">
        <f t="shared" si="0"/>
        <v>5856.0092485287532</v>
      </c>
      <c r="H11" t="s">
        <v>443</v>
      </c>
      <c r="I11" s="129">
        <v>215.42868564666091</v>
      </c>
    </row>
    <row r="12" spans="1:12" x14ac:dyDescent="0.25">
      <c r="A12" s="101">
        <v>11</v>
      </c>
      <c r="B12" s="101" t="s">
        <v>438</v>
      </c>
      <c r="C12" s="69">
        <v>1500</v>
      </c>
      <c r="D12" s="128">
        <v>6.5367310455463681</v>
      </c>
      <c r="E12" s="90">
        <f t="shared" si="0"/>
        <v>9805.0965683195518</v>
      </c>
      <c r="H12" t="s">
        <v>444</v>
      </c>
      <c r="I12" s="129">
        <v>137.55432617257819</v>
      </c>
    </row>
    <row r="13" spans="1:12" x14ac:dyDescent="0.25">
      <c r="H13" t="s">
        <v>445</v>
      </c>
      <c r="I13" s="129">
        <v>85.519557620194064</v>
      </c>
    </row>
    <row r="14" spans="1:12" x14ac:dyDescent="0.25">
      <c r="D14" s="103" t="s">
        <v>63</v>
      </c>
      <c r="E14" s="126">
        <f>SUM(E2:E12)</f>
        <v>29999.966572000005</v>
      </c>
      <c r="I14" s="129">
        <f>SUM(I10:I13)</f>
        <v>749.99999999998897</v>
      </c>
    </row>
    <row r="16" spans="1:12" x14ac:dyDescent="0.25">
      <c r="D16" s="103" t="s">
        <v>439</v>
      </c>
      <c r="E16" s="127">
        <v>30000</v>
      </c>
      <c r="I16" s="129">
        <v>750</v>
      </c>
    </row>
  </sheetData>
  <mergeCells count="1">
    <mergeCell ref="G2:L4"/>
  </mergeCell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workbookViewId="0">
      <selection activeCell="H12" sqref="H12"/>
    </sheetView>
  </sheetViews>
  <sheetFormatPr defaultRowHeight="15" x14ac:dyDescent="0.25"/>
  <cols>
    <col min="1" max="1" width="12.85546875" customWidth="1"/>
    <col min="2" max="2" width="15.5703125" customWidth="1"/>
    <col min="3" max="4" width="12.140625" bestFit="1" customWidth="1"/>
  </cols>
  <sheetData>
    <row r="1" spans="1:4" ht="22.5" customHeight="1" x14ac:dyDescent="0.25">
      <c r="A1" s="33" t="s">
        <v>79</v>
      </c>
      <c r="B1" s="33" t="s">
        <v>194</v>
      </c>
      <c r="C1" s="33" t="s">
        <v>286</v>
      </c>
      <c r="D1" s="33" t="s">
        <v>446</v>
      </c>
    </row>
    <row r="2" spans="1:4" x14ac:dyDescent="0.25">
      <c r="A2" s="111" t="s">
        <v>199</v>
      </c>
      <c r="B2" s="111" t="s">
        <v>343</v>
      </c>
      <c r="C2" s="69">
        <v>2300</v>
      </c>
      <c r="D2" s="111" t="s">
        <v>457</v>
      </c>
    </row>
    <row r="3" spans="1:4" x14ac:dyDescent="0.25">
      <c r="A3" s="111" t="s">
        <v>311</v>
      </c>
      <c r="B3" s="111" t="s">
        <v>452</v>
      </c>
      <c r="C3" s="69">
        <v>1500</v>
      </c>
      <c r="D3" s="111" t="s">
        <v>455</v>
      </c>
    </row>
    <row r="4" spans="1:4" x14ac:dyDescent="0.25">
      <c r="A4" s="111" t="s">
        <v>447</v>
      </c>
      <c r="B4" s="111" t="s">
        <v>453</v>
      </c>
      <c r="C4" s="69">
        <v>1300</v>
      </c>
      <c r="D4" s="111" t="s">
        <v>295</v>
      </c>
    </row>
    <row r="5" spans="1:4" x14ac:dyDescent="0.25">
      <c r="A5" s="111" t="s">
        <v>448</v>
      </c>
      <c r="B5" s="111" t="s">
        <v>454</v>
      </c>
      <c r="C5" s="69">
        <v>980</v>
      </c>
      <c r="D5" s="111" t="s">
        <v>456</v>
      </c>
    </row>
    <row r="6" spans="1:4" x14ac:dyDescent="0.25">
      <c r="A6" s="111" t="s">
        <v>449</v>
      </c>
      <c r="B6" s="111" t="s">
        <v>452</v>
      </c>
      <c r="C6" s="69">
        <v>2300</v>
      </c>
      <c r="D6" s="111" t="s">
        <v>455</v>
      </c>
    </row>
    <row r="7" spans="1:4" x14ac:dyDescent="0.25">
      <c r="A7" s="111" t="s">
        <v>450</v>
      </c>
      <c r="B7" s="111" t="s">
        <v>454</v>
      </c>
      <c r="C7" s="69">
        <v>1300</v>
      </c>
      <c r="D7" s="111" t="s">
        <v>457</v>
      </c>
    </row>
    <row r="8" spans="1:4" x14ac:dyDescent="0.25">
      <c r="A8" s="111" t="s">
        <v>243</v>
      </c>
      <c r="B8" s="111" t="s">
        <v>454</v>
      </c>
      <c r="C8" s="69">
        <v>1100</v>
      </c>
      <c r="D8" s="111" t="s">
        <v>456</v>
      </c>
    </row>
    <row r="9" spans="1:4" x14ac:dyDescent="0.25">
      <c r="A9" s="111" t="s">
        <v>451</v>
      </c>
      <c r="B9" s="111" t="s">
        <v>453</v>
      </c>
      <c r="C9" s="69">
        <v>1350</v>
      </c>
      <c r="D9" s="111" t="s">
        <v>455</v>
      </c>
    </row>
    <row r="11" spans="1:4" x14ac:dyDescent="0.25">
      <c r="A11" s="228" t="s">
        <v>458</v>
      </c>
      <c r="B11" s="228"/>
      <c r="C11" s="72"/>
    </row>
    <row r="13" spans="1:4" x14ac:dyDescent="0.25">
      <c r="A13" t="s">
        <v>459</v>
      </c>
    </row>
  </sheetData>
  <mergeCells count="1">
    <mergeCell ref="A11:B11"/>
  </mergeCell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7"/>
  <sheetViews>
    <sheetView workbookViewId="0">
      <selection activeCell="C12" sqref="C12"/>
    </sheetView>
  </sheetViews>
  <sheetFormatPr defaultRowHeight="15" x14ac:dyDescent="0.25"/>
  <cols>
    <col min="1" max="1" width="18" customWidth="1"/>
    <col min="2" max="2" width="13.7109375" customWidth="1"/>
    <col min="3" max="3" width="8.140625" customWidth="1"/>
    <col min="4" max="4" width="15.140625" customWidth="1"/>
    <col min="5" max="5" width="17" bestFit="1" customWidth="1"/>
  </cols>
  <sheetData>
    <row r="2" spans="1:5" x14ac:dyDescent="0.25">
      <c r="A2" s="130" t="s">
        <v>446</v>
      </c>
      <c r="B2" s="5" t="s">
        <v>457</v>
      </c>
    </row>
    <row r="4" spans="1:5" x14ac:dyDescent="0.25">
      <c r="A4" s="131" t="s">
        <v>460</v>
      </c>
      <c r="B4" s="144" t="s">
        <v>462</v>
      </c>
      <c r="C4" s="142" t="s">
        <v>349</v>
      </c>
      <c r="D4" s="144" t="s">
        <v>461</v>
      </c>
      <c r="E4" s="5" t="s">
        <v>463</v>
      </c>
    </row>
    <row r="5" spans="1:5" x14ac:dyDescent="0.25">
      <c r="A5" s="143" t="s">
        <v>450</v>
      </c>
      <c r="B5" s="122">
        <v>1</v>
      </c>
      <c r="C5" s="132">
        <v>0.3611111111111111</v>
      </c>
      <c r="D5" s="66">
        <v>1300</v>
      </c>
      <c r="E5" s="66">
        <v>1300</v>
      </c>
    </row>
    <row r="6" spans="1:5" x14ac:dyDescent="0.25">
      <c r="A6" s="143" t="s">
        <v>199</v>
      </c>
      <c r="B6" s="122">
        <v>1</v>
      </c>
      <c r="C6" s="132">
        <v>0.63888888888888884</v>
      </c>
      <c r="D6" s="66">
        <v>2300</v>
      </c>
      <c r="E6" s="66">
        <v>2300</v>
      </c>
    </row>
    <row r="7" spans="1:5" x14ac:dyDescent="0.25">
      <c r="A7" s="143" t="s">
        <v>156</v>
      </c>
      <c r="B7" s="122">
        <v>2</v>
      </c>
      <c r="C7" s="132">
        <v>1</v>
      </c>
      <c r="D7" s="66">
        <v>3600</v>
      </c>
      <c r="E7" s="66">
        <v>1800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6"/>
  <sheetViews>
    <sheetView workbookViewId="0">
      <selection activeCell="H14" sqref="H14"/>
    </sheetView>
  </sheetViews>
  <sheetFormatPr defaultRowHeight="15" x14ac:dyDescent="0.25"/>
  <cols>
    <col min="1" max="1" width="22" bestFit="1" customWidth="1"/>
    <col min="2" max="2" width="13.28515625" bestFit="1" customWidth="1"/>
    <col min="3" max="3" width="10.5703125" bestFit="1" customWidth="1"/>
    <col min="4" max="4" width="11.140625" customWidth="1"/>
    <col min="5" max="5" width="12.140625" bestFit="1" customWidth="1"/>
    <col min="6" max="6" width="14" customWidth="1"/>
    <col min="7" max="8" width="10.7109375" customWidth="1"/>
    <col min="10" max="10" width="13.7109375" customWidth="1"/>
    <col min="11" max="11" width="10.5703125" bestFit="1" customWidth="1"/>
    <col min="13" max="13" width="10.5703125" bestFit="1" customWidth="1"/>
    <col min="14" max="14" width="12.140625" bestFit="1" customWidth="1"/>
    <col min="15" max="15" width="10.5703125" bestFit="1" customWidth="1"/>
  </cols>
  <sheetData>
    <row r="1" spans="1:15" ht="26.25" customHeight="1" x14ac:dyDescent="0.25">
      <c r="A1" s="133" t="s">
        <v>464</v>
      </c>
      <c r="B1" s="229" t="s">
        <v>465</v>
      </c>
      <c r="C1" s="229"/>
      <c r="D1" s="229"/>
      <c r="E1" s="229"/>
      <c r="F1" s="229"/>
      <c r="G1" s="229"/>
      <c r="H1" s="229"/>
      <c r="I1" s="229" t="s">
        <v>479</v>
      </c>
      <c r="J1" s="229"/>
      <c r="K1" s="229"/>
      <c r="L1" s="229"/>
      <c r="M1" s="229"/>
      <c r="N1" s="139" t="s">
        <v>286</v>
      </c>
    </row>
    <row r="2" spans="1:15" ht="31.5" customHeight="1" x14ac:dyDescent="0.25">
      <c r="A2" s="70" t="s">
        <v>466</v>
      </c>
      <c r="B2" s="113" t="s">
        <v>467</v>
      </c>
      <c r="C2" s="113" t="s">
        <v>468</v>
      </c>
      <c r="D2" s="113" t="s">
        <v>469</v>
      </c>
      <c r="E2" s="113" t="s">
        <v>470</v>
      </c>
      <c r="F2" s="56" t="s">
        <v>471</v>
      </c>
      <c r="G2" s="56" t="s">
        <v>472</v>
      </c>
      <c r="H2" s="56" t="s">
        <v>473</v>
      </c>
      <c r="I2" s="135" t="s">
        <v>478</v>
      </c>
      <c r="J2" s="135" t="s">
        <v>474</v>
      </c>
      <c r="K2" s="135" t="s">
        <v>475</v>
      </c>
      <c r="L2" s="46" t="s">
        <v>476</v>
      </c>
      <c r="M2" s="135" t="s">
        <v>477</v>
      </c>
      <c r="N2" s="139" t="s">
        <v>286</v>
      </c>
      <c r="O2" s="135" t="s">
        <v>485</v>
      </c>
    </row>
    <row r="3" spans="1:15" x14ac:dyDescent="0.25">
      <c r="A3" s="105" t="s">
        <v>180</v>
      </c>
      <c r="B3" s="137">
        <v>2500</v>
      </c>
      <c r="C3" s="138">
        <f>B3*$B$12</f>
        <v>200</v>
      </c>
      <c r="D3" s="138">
        <f>B3*$B$13</f>
        <v>150</v>
      </c>
      <c r="E3" s="137">
        <v>500</v>
      </c>
      <c r="F3" s="113">
        <v>2</v>
      </c>
      <c r="G3" s="138">
        <f>F3*$B$14</f>
        <v>240</v>
      </c>
      <c r="H3" s="113">
        <v>50</v>
      </c>
      <c r="I3" s="46">
        <v>0</v>
      </c>
      <c r="J3" s="136">
        <f>B3/176</f>
        <v>14.204545454545455</v>
      </c>
      <c r="K3" s="136">
        <f>I3*J3</f>
        <v>0</v>
      </c>
      <c r="L3" s="46">
        <v>2</v>
      </c>
      <c r="M3" s="136">
        <f>L3*$E$12</f>
        <v>120</v>
      </c>
      <c r="N3" s="140">
        <f>B3-C3-D3-E3-G3+J3+K3+M3</f>
        <v>1544.2045454545455</v>
      </c>
      <c r="O3" s="141">
        <f>B3*$B$15</f>
        <v>200</v>
      </c>
    </row>
    <row r="4" spans="1:15" x14ac:dyDescent="0.25">
      <c r="A4" s="105" t="s">
        <v>199</v>
      </c>
      <c r="B4" s="137">
        <v>1950</v>
      </c>
      <c r="C4" s="138">
        <f t="shared" ref="C4:C8" si="0">B4*$B$12</f>
        <v>156</v>
      </c>
      <c r="D4" s="138">
        <f t="shared" ref="D4:D8" si="1">B4*$B$13</f>
        <v>117</v>
      </c>
      <c r="E4" s="137">
        <v>100</v>
      </c>
      <c r="F4" s="113">
        <v>3</v>
      </c>
      <c r="G4" s="138">
        <f t="shared" ref="G4:G8" si="2">F4*$B$14</f>
        <v>360</v>
      </c>
      <c r="H4" s="113">
        <v>0</v>
      </c>
      <c r="I4" s="46">
        <v>20</v>
      </c>
      <c r="J4" s="136">
        <f t="shared" ref="J4:J8" si="3">B4/176</f>
        <v>11.079545454545455</v>
      </c>
      <c r="K4" s="136">
        <f t="shared" ref="K4:K8" si="4">I4*J4</f>
        <v>221.59090909090909</v>
      </c>
      <c r="L4" s="46">
        <v>0</v>
      </c>
      <c r="M4" s="136">
        <f t="shared" ref="M4:M8" si="5">L4*$E$12</f>
        <v>0</v>
      </c>
      <c r="N4" s="140">
        <f t="shared" ref="N4:N8" si="6">B4-C4-D4-E4-G4+J4+K4+M4</f>
        <v>1449.6704545454545</v>
      </c>
      <c r="O4" s="141">
        <f t="shared" ref="O4:O8" si="7">B4*$B$15</f>
        <v>156</v>
      </c>
    </row>
    <row r="5" spans="1:15" x14ac:dyDescent="0.25">
      <c r="A5" s="105" t="s">
        <v>241</v>
      </c>
      <c r="B5" s="137">
        <v>1870</v>
      </c>
      <c r="C5" s="138">
        <f t="shared" si="0"/>
        <v>149.6</v>
      </c>
      <c r="D5" s="138">
        <f t="shared" si="1"/>
        <v>112.2</v>
      </c>
      <c r="E5" s="137">
        <v>700</v>
      </c>
      <c r="F5" s="113">
        <v>2</v>
      </c>
      <c r="G5" s="138">
        <f t="shared" si="2"/>
        <v>240</v>
      </c>
      <c r="H5" s="113">
        <v>0</v>
      </c>
      <c r="I5" s="46">
        <v>16</v>
      </c>
      <c r="J5" s="136">
        <f t="shared" si="3"/>
        <v>10.625</v>
      </c>
      <c r="K5" s="136">
        <f t="shared" si="4"/>
        <v>170</v>
      </c>
      <c r="L5" s="46">
        <v>1</v>
      </c>
      <c r="M5" s="136">
        <f t="shared" si="5"/>
        <v>60</v>
      </c>
      <c r="N5" s="140">
        <f t="shared" si="6"/>
        <v>908.82500000000005</v>
      </c>
      <c r="O5" s="141">
        <f t="shared" si="7"/>
        <v>149.6</v>
      </c>
    </row>
    <row r="6" spans="1:15" x14ac:dyDescent="0.25">
      <c r="A6" s="105" t="s">
        <v>243</v>
      </c>
      <c r="B6" s="137">
        <v>10000</v>
      </c>
      <c r="C6" s="138">
        <f t="shared" si="0"/>
        <v>800</v>
      </c>
      <c r="D6" s="138">
        <f t="shared" si="1"/>
        <v>600</v>
      </c>
      <c r="E6" s="137">
        <v>3600</v>
      </c>
      <c r="F6" s="113">
        <v>1</v>
      </c>
      <c r="G6" s="138">
        <f t="shared" si="2"/>
        <v>120</v>
      </c>
      <c r="H6" s="113">
        <v>100</v>
      </c>
      <c r="I6" s="46">
        <v>3</v>
      </c>
      <c r="J6" s="136">
        <f t="shared" si="3"/>
        <v>56.81818181818182</v>
      </c>
      <c r="K6" s="136">
        <f t="shared" si="4"/>
        <v>170.45454545454547</v>
      </c>
      <c r="L6" s="46">
        <v>3</v>
      </c>
      <c r="M6" s="136">
        <f t="shared" si="5"/>
        <v>180</v>
      </c>
      <c r="N6" s="140">
        <f t="shared" si="6"/>
        <v>5287.272727272727</v>
      </c>
      <c r="O6" s="141">
        <f t="shared" si="7"/>
        <v>800</v>
      </c>
    </row>
    <row r="7" spans="1:15" x14ac:dyDescent="0.25">
      <c r="A7" s="105" t="s">
        <v>480</v>
      </c>
      <c r="B7" s="137">
        <v>6400</v>
      </c>
      <c r="C7" s="138">
        <f t="shared" si="0"/>
        <v>512</v>
      </c>
      <c r="D7" s="138">
        <f t="shared" si="1"/>
        <v>384</v>
      </c>
      <c r="E7" s="137">
        <v>2000</v>
      </c>
      <c r="F7" s="113">
        <v>2</v>
      </c>
      <c r="G7" s="138">
        <f t="shared" si="2"/>
        <v>240</v>
      </c>
      <c r="H7" s="113">
        <v>150</v>
      </c>
      <c r="I7" s="46">
        <v>0</v>
      </c>
      <c r="J7" s="136">
        <f t="shared" si="3"/>
        <v>36.363636363636367</v>
      </c>
      <c r="K7" s="136">
        <f t="shared" si="4"/>
        <v>0</v>
      </c>
      <c r="L7" s="46">
        <v>0</v>
      </c>
      <c r="M7" s="136">
        <f t="shared" si="5"/>
        <v>0</v>
      </c>
      <c r="N7" s="140">
        <f t="shared" si="6"/>
        <v>3300.3636363636365</v>
      </c>
      <c r="O7" s="141">
        <f t="shared" si="7"/>
        <v>512</v>
      </c>
    </row>
    <row r="8" spans="1:15" x14ac:dyDescent="0.25">
      <c r="A8" s="105" t="s">
        <v>311</v>
      </c>
      <c r="B8" s="137">
        <v>1700</v>
      </c>
      <c r="C8" s="138">
        <f t="shared" si="0"/>
        <v>136</v>
      </c>
      <c r="D8" s="138">
        <f t="shared" si="1"/>
        <v>102</v>
      </c>
      <c r="E8" s="137">
        <v>1000</v>
      </c>
      <c r="F8" s="113">
        <v>4</v>
      </c>
      <c r="G8" s="138">
        <f t="shared" si="2"/>
        <v>480</v>
      </c>
      <c r="H8" s="113">
        <v>80</v>
      </c>
      <c r="I8" s="46">
        <v>10</v>
      </c>
      <c r="J8" s="136">
        <f t="shared" si="3"/>
        <v>9.6590909090909083</v>
      </c>
      <c r="K8" s="136">
        <f t="shared" si="4"/>
        <v>96.590909090909079</v>
      </c>
      <c r="L8" s="46">
        <v>1</v>
      </c>
      <c r="M8" s="136">
        <f t="shared" si="5"/>
        <v>60</v>
      </c>
      <c r="N8" s="140">
        <f t="shared" si="6"/>
        <v>148.25</v>
      </c>
      <c r="O8" s="141">
        <f t="shared" si="7"/>
        <v>136</v>
      </c>
    </row>
    <row r="9" spans="1:15" x14ac:dyDescent="0.25">
      <c r="A9" s="134" t="s">
        <v>63</v>
      </c>
      <c r="B9" s="47">
        <f>SUM(B3:B8)</f>
        <v>24420</v>
      </c>
    </row>
    <row r="11" spans="1:15" x14ac:dyDescent="0.25">
      <c r="A11" s="182" t="s">
        <v>481</v>
      </c>
      <c r="B11" s="182"/>
      <c r="D11" s="182" t="s">
        <v>479</v>
      </c>
      <c r="E11" s="182"/>
    </row>
    <row r="12" spans="1:15" x14ac:dyDescent="0.25">
      <c r="A12" s="111" t="s">
        <v>482</v>
      </c>
      <c r="B12" s="91">
        <v>0.08</v>
      </c>
      <c r="D12" s="71" t="s">
        <v>484</v>
      </c>
      <c r="E12" s="72">
        <v>60</v>
      </c>
    </row>
    <row r="13" spans="1:15" x14ac:dyDescent="0.25">
      <c r="A13" s="111" t="s">
        <v>483</v>
      </c>
      <c r="B13" s="91">
        <v>0.06</v>
      </c>
    </row>
    <row r="14" spans="1:15" x14ac:dyDescent="0.25">
      <c r="A14" s="111" t="s">
        <v>472</v>
      </c>
      <c r="B14" s="69">
        <v>120</v>
      </c>
      <c r="D14" s="71" t="s">
        <v>487</v>
      </c>
      <c r="E14" s="72">
        <v>100</v>
      </c>
    </row>
    <row r="15" spans="1:15" x14ac:dyDescent="0.25">
      <c r="A15" s="112" t="s">
        <v>485</v>
      </c>
      <c r="B15" s="91">
        <v>0.08</v>
      </c>
    </row>
    <row r="16" spans="1:15" x14ac:dyDescent="0.25">
      <c r="A16" s="112" t="s">
        <v>486</v>
      </c>
      <c r="B16" s="5"/>
    </row>
  </sheetData>
  <mergeCells count="4">
    <mergeCell ref="I1:M1"/>
    <mergeCell ref="B1:H1"/>
    <mergeCell ref="A11:B11"/>
    <mergeCell ref="D11:E11"/>
  </mergeCells>
  <conditionalFormatting sqref="H3:H8">
    <cfRule type="cellIs" dxfId="2" priority="1" operator="greater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topLeftCell="B1" workbookViewId="0">
      <selection activeCell="E1" sqref="E1"/>
    </sheetView>
  </sheetViews>
  <sheetFormatPr defaultRowHeight="15" x14ac:dyDescent="0.25"/>
  <cols>
    <col min="1" max="1" width="16.28515625" customWidth="1"/>
    <col min="2" max="2" width="25.42578125" customWidth="1"/>
    <col min="3" max="3" width="12.140625" bestFit="1" customWidth="1"/>
    <col min="5" max="5" width="11.42578125" bestFit="1" customWidth="1"/>
    <col min="6" max="6" width="19.42578125" bestFit="1" customWidth="1"/>
    <col min="7" max="7" width="12.140625" bestFit="1" customWidth="1"/>
  </cols>
  <sheetData>
    <row r="1" spans="1:7" ht="27.75" customHeight="1" x14ac:dyDescent="0.25">
      <c r="A1" s="33" t="s">
        <v>488</v>
      </c>
      <c r="B1" s="33" t="s">
        <v>194</v>
      </c>
      <c r="C1" s="33" t="s">
        <v>286</v>
      </c>
      <c r="E1" s="33" t="s">
        <v>488</v>
      </c>
      <c r="F1" s="33" t="s">
        <v>194</v>
      </c>
      <c r="G1" s="33" t="s">
        <v>286</v>
      </c>
    </row>
    <row r="2" spans="1:7" x14ac:dyDescent="0.25">
      <c r="A2" s="5" t="s">
        <v>451</v>
      </c>
      <c r="B2" s="5" t="s">
        <v>493</v>
      </c>
      <c r="C2" s="26">
        <v>1100</v>
      </c>
    </row>
    <row r="3" spans="1:7" x14ac:dyDescent="0.25">
      <c r="A3" s="5" t="s">
        <v>180</v>
      </c>
      <c r="B3" s="5" t="s">
        <v>494</v>
      </c>
      <c r="C3" s="26">
        <v>1350</v>
      </c>
    </row>
    <row r="4" spans="1:7" x14ac:dyDescent="0.25">
      <c r="A4" s="5" t="s">
        <v>447</v>
      </c>
      <c r="B4" s="5" t="s">
        <v>343</v>
      </c>
      <c r="C4" s="26">
        <v>3800</v>
      </c>
    </row>
    <row r="5" spans="1:7" x14ac:dyDescent="0.25">
      <c r="A5" s="5" t="s">
        <v>312</v>
      </c>
      <c r="B5" s="5" t="s">
        <v>495</v>
      </c>
      <c r="C5" s="26">
        <v>2200</v>
      </c>
      <c r="E5" s="33" t="s">
        <v>488</v>
      </c>
      <c r="F5" s="33" t="s">
        <v>194</v>
      </c>
      <c r="G5" s="33" t="s">
        <v>286</v>
      </c>
    </row>
    <row r="6" spans="1:7" x14ac:dyDescent="0.25">
      <c r="A6" s="5" t="s">
        <v>243</v>
      </c>
      <c r="B6" s="5" t="s">
        <v>496</v>
      </c>
      <c r="C6" s="26">
        <v>2000</v>
      </c>
    </row>
    <row r="7" spans="1:7" x14ac:dyDescent="0.25">
      <c r="A7" s="5" t="s">
        <v>489</v>
      </c>
      <c r="B7" s="5" t="s">
        <v>497</v>
      </c>
      <c r="C7" s="26">
        <v>957</v>
      </c>
    </row>
    <row r="8" spans="1:7" x14ac:dyDescent="0.25">
      <c r="A8" s="5" t="s">
        <v>490</v>
      </c>
      <c r="B8" s="5" t="s">
        <v>498</v>
      </c>
      <c r="C8" s="26">
        <v>1000</v>
      </c>
    </row>
    <row r="9" spans="1:7" x14ac:dyDescent="0.25">
      <c r="A9" s="5" t="s">
        <v>491</v>
      </c>
      <c r="B9" s="5" t="s">
        <v>244</v>
      </c>
      <c r="C9" s="26">
        <v>4300</v>
      </c>
    </row>
    <row r="10" spans="1:7" x14ac:dyDescent="0.25">
      <c r="A10" s="5" t="s">
        <v>492</v>
      </c>
      <c r="B10" s="5" t="s">
        <v>495</v>
      </c>
      <c r="C10" s="26">
        <v>1600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XFC11"/>
  <sheetViews>
    <sheetView showGridLines="0" tabSelected="1" workbookViewId="0">
      <selection activeCell="B4" sqref="B4"/>
    </sheetView>
  </sheetViews>
  <sheetFormatPr defaultColWidth="0" defaultRowHeight="15" zeroHeight="1" x14ac:dyDescent="0.25"/>
  <cols>
    <col min="1" max="1" width="36.42578125" customWidth="1"/>
    <col min="2" max="2" width="16.85546875" customWidth="1"/>
    <col min="3" max="3" width="9.140625" customWidth="1"/>
    <col min="4" max="4" width="16.42578125" customWidth="1"/>
    <col min="5" max="5" width="20.5703125" customWidth="1"/>
    <col min="6" max="11" width="9.140625" customWidth="1"/>
    <col min="12" max="16380" width="9.140625" hidden="1"/>
    <col min="16381" max="16381" width="13" hidden="1"/>
    <col min="16382" max="16382" width="12" hidden="1"/>
    <col min="16383" max="16383" width="26.5703125" hidden="1"/>
    <col min="16384" max="16384" width="8.42578125" hidden="1"/>
  </cols>
  <sheetData>
    <row r="1" spans="1:5" x14ac:dyDescent="0.25">
      <c r="A1" s="230" t="s">
        <v>501</v>
      </c>
      <c r="B1" s="230"/>
      <c r="C1" s="230"/>
      <c r="D1" s="230"/>
      <c r="E1" s="230"/>
    </row>
    <row r="2" spans="1:5" ht="61.5" customHeight="1" x14ac:dyDescent="0.25">
      <c r="A2" s="230"/>
      <c r="B2" s="230"/>
      <c r="C2" s="230"/>
      <c r="D2" s="230"/>
      <c r="E2" s="230"/>
    </row>
    <row r="3" spans="1:5" ht="21.75" customHeight="1" x14ac:dyDescent="0.25">
      <c r="A3" s="148" t="s">
        <v>499</v>
      </c>
      <c r="B3" s="148" t="s">
        <v>502</v>
      </c>
      <c r="D3" s="148" t="s">
        <v>503</v>
      </c>
      <c r="E3" s="150">
        <v>500</v>
      </c>
    </row>
    <row r="4" spans="1:5" ht="18" customHeight="1" x14ac:dyDescent="0.25">
      <c r="A4" s="145"/>
      <c r="B4" s="69"/>
      <c r="D4" s="146" t="s">
        <v>504</v>
      </c>
      <c r="E4" s="69">
        <f>E3+Entradas!D3</f>
        <v>848.75</v>
      </c>
    </row>
    <row r="5" spans="1:5" ht="18" customHeight="1" x14ac:dyDescent="0.25">
      <c r="A5" s="147" t="s">
        <v>512</v>
      </c>
      <c r="B5" s="47">
        <f>Entradas!D3</f>
        <v>348.75</v>
      </c>
      <c r="D5" s="146" t="s">
        <v>505</v>
      </c>
      <c r="E5" s="152">
        <f>E4-Saidas!C3</f>
        <v>698.75</v>
      </c>
    </row>
    <row r="6" spans="1:5" x14ac:dyDescent="0.25"/>
    <row r="7" spans="1:5" x14ac:dyDescent="0.25"/>
    <row r="8" spans="1:5" x14ac:dyDescent="0.25"/>
    <row r="9" spans="1:5" x14ac:dyDescent="0.25"/>
    <row r="10" spans="1:5" x14ac:dyDescent="0.25">
      <c r="A10" s="149">
        <f ca="1">NOW()</f>
        <v>44913.725087500003</v>
      </c>
      <c r="B10" s="146" t="s">
        <v>509</v>
      </c>
      <c r="C10" s="231" t="str">
        <f>IF(E5&lt;0,"Caixa Negativado","Caixa Positivo")</f>
        <v>Caixa Positivo</v>
      </c>
      <c r="D10" s="231"/>
    </row>
    <row r="11" spans="1:5" x14ac:dyDescent="0.25">
      <c r="A11" s="147" t="s">
        <v>511</v>
      </c>
      <c r="B11" s="90">
        <f>Saidas!C3</f>
        <v>150</v>
      </c>
      <c r="C11" s="235">
        <f ca="1">NOW()</f>
        <v>44913.725087500003</v>
      </c>
      <c r="D11" s="235"/>
    </row>
  </sheetData>
  <mergeCells count="3">
    <mergeCell ref="A1:E2"/>
    <mergeCell ref="C10:D10"/>
    <mergeCell ref="C11:D11"/>
  </mergeCells>
  <conditionalFormatting sqref="E5">
    <cfRule type="cellIs" dxfId="1" priority="1" operator="lessThan">
      <formula>0</formula>
    </cfRule>
    <cfRule type="cellIs" dxfId="0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Entrada">
                <anchor moveWithCells="1" sizeWithCells="1">
                  <from>
                    <xdr:col>1</xdr:col>
                    <xdr:colOff>19050</xdr:colOff>
                    <xdr:row>5</xdr:row>
                    <xdr:rowOff>152400</xdr:rowOff>
                  </from>
                  <to>
                    <xdr:col>2</xdr:col>
                    <xdr:colOff>257175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Saida">
                <anchor moveWithCells="1" sizeWithCells="1">
                  <from>
                    <xdr:col>3</xdr:col>
                    <xdr:colOff>0</xdr:colOff>
                    <xdr:row>5</xdr:row>
                    <xdr:rowOff>161925</xdr:rowOff>
                  </from>
                  <to>
                    <xdr:col>4</xdr:col>
                    <xdr:colOff>266700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21"/>
  <sheetViews>
    <sheetView showGridLines="0" workbookViewId="0">
      <selection activeCell="A6" sqref="A6:XFD6"/>
    </sheetView>
  </sheetViews>
  <sheetFormatPr defaultColWidth="0" defaultRowHeight="15" x14ac:dyDescent="0.25"/>
  <cols>
    <col min="1" max="1" width="36.7109375" customWidth="1"/>
    <col min="2" max="2" width="16.42578125" customWidth="1"/>
    <col min="3" max="3" width="11.42578125" customWidth="1"/>
    <col min="4" max="4" width="18.85546875" customWidth="1"/>
    <col min="5" max="5" width="13.7109375" customWidth="1"/>
    <col min="6" max="16384" width="9.140625" hidden="1"/>
  </cols>
  <sheetData>
    <row r="1" spans="1:5" x14ac:dyDescent="0.25">
      <c r="A1" s="230" t="s">
        <v>506</v>
      </c>
      <c r="B1" s="230"/>
      <c r="C1" s="230"/>
      <c r="D1" s="230"/>
      <c r="E1" s="230"/>
    </row>
    <row r="2" spans="1:5" x14ac:dyDescent="0.25">
      <c r="A2" s="230"/>
      <c r="B2" s="230"/>
      <c r="C2" s="230"/>
      <c r="D2" s="230"/>
      <c r="E2" s="230"/>
    </row>
    <row r="3" spans="1:5" ht="29.25" customHeight="1" x14ac:dyDescent="0.25">
      <c r="C3" s="151" t="s">
        <v>500</v>
      </c>
      <c r="D3" s="152">
        <f>SUM(B5:B21)</f>
        <v>348.75</v>
      </c>
    </row>
    <row r="4" spans="1:5" x14ac:dyDescent="0.25">
      <c r="A4" s="60" t="s">
        <v>499</v>
      </c>
      <c r="B4" s="60" t="s">
        <v>39</v>
      </c>
    </row>
    <row r="7" spans="1:5" x14ac:dyDescent="0.25">
      <c r="A7" s="147" t="s">
        <v>514</v>
      </c>
      <c r="B7" s="69">
        <v>98.75</v>
      </c>
    </row>
    <row r="8" spans="1:5" x14ac:dyDescent="0.25">
      <c r="A8" s="147" t="s">
        <v>510</v>
      </c>
      <c r="B8" s="69">
        <v>250</v>
      </c>
    </row>
    <row r="9" spans="1:5" x14ac:dyDescent="0.25">
      <c r="A9" s="147"/>
      <c r="B9" s="69"/>
    </row>
    <row r="10" spans="1:5" x14ac:dyDescent="0.25">
      <c r="A10" s="147"/>
      <c r="B10" s="69"/>
    </row>
    <row r="11" spans="1:5" x14ac:dyDescent="0.25">
      <c r="A11" s="147"/>
      <c r="B11" s="69"/>
    </row>
    <row r="12" spans="1:5" x14ac:dyDescent="0.25">
      <c r="A12" s="147"/>
      <c r="B12" s="69"/>
    </row>
    <row r="13" spans="1:5" x14ac:dyDescent="0.25">
      <c r="A13" s="147"/>
      <c r="B13" s="69"/>
    </row>
    <row r="14" spans="1:5" x14ac:dyDescent="0.25">
      <c r="A14" s="145"/>
      <c r="B14" s="69"/>
    </row>
    <row r="15" spans="1:5" x14ac:dyDescent="0.25">
      <c r="A15" s="145"/>
      <c r="B15" s="69"/>
    </row>
    <row r="16" spans="1:5" x14ac:dyDescent="0.25">
      <c r="A16" s="145"/>
      <c r="B16" s="69"/>
    </row>
    <row r="17" spans="1:2" x14ac:dyDescent="0.25">
      <c r="A17" s="145"/>
      <c r="B17" s="69"/>
    </row>
    <row r="18" spans="1:2" x14ac:dyDescent="0.25">
      <c r="A18" s="145"/>
      <c r="B18" s="69"/>
    </row>
    <row r="19" spans="1:2" x14ac:dyDescent="0.25">
      <c r="A19" s="145"/>
      <c r="B19" s="69"/>
    </row>
    <row r="20" spans="1:2" x14ac:dyDescent="0.25">
      <c r="A20" s="145"/>
      <c r="B20" s="69"/>
    </row>
    <row r="21" spans="1:2" hidden="1" x14ac:dyDescent="0.25">
      <c r="A21" s="5"/>
      <c r="B21" s="26"/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Limpar">
                <anchor moveWithCells="1" sizeWithCells="1">
                  <from>
                    <xdr:col>4</xdr:col>
                    <xdr:colOff>95250</xdr:colOff>
                    <xdr:row>2</xdr:row>
                    <xdr:rowOff>76200</xdr:rowOff>
                  </from>
                  <to>
                    <xdr:col>4</xdr:col>
                    <xdr:colOff>828675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XFD24"/>
  <sheetViews>
    <sheetView showGridLines="0" workbookViewId="0">
      <selection activeCell="A5" sqref="A5:XFD5"/>
    </sheetView>
  </sheetViews>
  <sheetFormatPr defaultColWidth="9.140625" defaultRowHeight="15" x14ac:dyDescent="0.25"/>
  <cols>
    <col min="1" max="1" width="36.5703125" customWidth="1"/>
    <col min="2" max="2" width="13.28515625" customWidth="1"/>
    <col min="3" max="3" width="17.85546875" customWidth="1"/>
    <col min="4" max="16380" width="0" hidden="1" customWidth="1"/>
    <col min="16381" max="16381" width="9.140625" customWidth="1"/>
    <col min="16382" max="16382" width="12.28515625" customWidth="1"/>
    <col min="16383" max="16383" width="19" customWidth="1"/>
    <col min="16384" max="16384" width="13.5703125" customWidth="1"/>
  </cols>
  <sheetData>
    <row r="1" spans="1:3" x14ac:dyDescent="0.25">
      <c r="A1" s="232" t="s">
        <v>507</v>
      </c>
      <c r="B1" s="232"/>
      <c r="C1" s="234" t="s">
        <v>508</v>
      </c>
    </row>
    <row r="2" spans="1:3" x14ac:dyDescent="0.25">
      <c r="A2" s="233"/>
      <c r="B2" s="233"/>
      <c r="C2" s="234"/>
    </row>
    <row r="3" spans="1:3" ht="23.25" customHeight="1" x14ac:dyDescent="0.25">
      <c r="A3" s="145" t="s">
        <v>499</v>
      </c>
      <c r="B3" s="145" t="s">
        <v>502</v>
      </c>
      <c r="C3" s="69">
        <f>SUM(B4:B24)</f>
        <v>150</v>
      </c>
    </row>
    <row r="6" spans="1:3" x14ac:dyDescent="0.25">
      <c r="A6" s="147" t="s">
        <v>513</v>
      </c>
      <c r="B6" s="69">
        <v>150</v>
      </c>
    </row>
    <row r="7" spans="1:3" x14ac:dyDescent="0.25">
      <c r="A7" s="147"/>
      <c r="B7" s="69"/>
    </row>
    <row r="8" spans="1:3" x14ac:dyDescent="0.25">
      <c r="A8" s="147"/>
      <c r="B8" s="69"/>
    </row>
    <row r="9" spans="1:3" x14ac:dyDescent="0.25">
      <c r="A9" s="147"/>
      <c r="B9" s="69"/>
    </row>
    <row r="10" spans="1:3" x14ac:dyDescent="0.25">
      <c r="A10" s="147"/>
      <c r="B10" s="69"/>
    </row>
    <row r="11" spans="1:3" x14ac:dyDescent="0.25">
      <c r="A11" s="147"/>
      <c r="B11" s="69"/>
    </row>
    <row r="12" spans="1:3" x14ac:dyDescent="0.25">
      <c r="A12" s="147"/>
      <c r="B12" s="69"/>
    </row>
    <row r="13" spans="1:3" x14ac:dyDescent="0.25">
      <c r="A13" s="145"/>
      <c r="B13" s="69"/>
    </row>
    <row r="14" spans="1:3" x14ac:dyDescent="0.25">
      <c r="A14" s="145"/>
      <c r="B14" s="69"/>
    </row>
    <row r="15" spans="1:3" x14ac:dyDescent="0.25">
      <c r="A15" s="145"/>
      <c r="B15" s="69"/>
    </row>
    <row r="16" spans="1:3" x14ac:dyDescent="0.25">
      <c r="A16" s="145"/>
      <c r="B16" s="69"/>
    </row>
    <row r="17" spans="1:2" x14ac:dyDescent="0.25">
      <c r="A17" s="145"/>
      <c r="B17" s="69"/>
    </row>
    <row r="18" spans="1:2" x14ac:dyDescent="0.25">
      <c r="A18" s="145"/>
      <c r="B18" s="69"/>
    </row>
    <row r="19" spans="1:2" x14ac:dyDescent="0.25">
      <c r="A19" s="145"/>
      <c r="B19" s="69"/>
    </row>
    <row r="20" spans="1:2" x14ac:dyDescent="0.25">
      <c r="A20" s="145"/>
      <c r="B20" s="69"/>
    </row>
    <row r="21" spans="1:2" x14ac:dyDescent="0.25">
      <c r="A21" s="145"/>
      <c r="B21" s="69"/>
    </row>
    <row r="22" spans="1:2" x14ac:dyDescent="0.25">
      <c r="A22" s="145"/>
      <c r="B22" s="69"/>
    </row>
    <row r="23" spans="1:2" x14ac:dyDescent="0.25">
      <c r="A23" s="145"/>
      <c r="B23" s="69"/>
    </row>
    <row r="24" spans="1:2" hidden="1" x14ac:dyDescent="0.25">
      <c r="A24" s="145"/>
      <c r="B24" s="69"/>
    </row>
  </sheetData>
  <mergeCells count="2">
    <mergeCell ref="A1:B2"/>
    <mergeCell ref="C1:C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Limpar2">
                <anchor moveWithCells="1" sizeWithCells="1">
                  <from>
                    <xdr:col>16380</xdr:col>
                    <xdr:colOff>285750</xdr:colOff>
                    <xdr:row>1</xdr:row>
                    <xdr:rowOff>76200</xdr:rowOff>
                  </from>
                  <to>
                    <xdr:col>16382</xdr:col>
                    <xdr:colOff>209550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26</vt:i4>
      </vt:variant>
      <vt:variant>
        <vt:lpstr>Intervalos nomeados</vt:lpstr>
      </vt:variant>
      <vt:variant>
        <vt:i4>13</vt:i4>
      </vt:variant>
    </vt:vector>
  </HeadingPairs>
  <TitlesOfParts>
    <vt:vector size="39" baseType="lpstr">
      <vt:lpstr>Formatação Condicional</vt:lpstr>
      <vt:lpstr>McDonalds</vt:lpstr>
      <vt:lpstr>Nota Fiscal</vt:lpstr>
      <vt:lpstr>Função SomaSE</vt:lpstr>
      <vt:lpstr>Procv Exponenciação</vt:lpstr>
      <vt:lpstr>Proch</vt:lpstr>
      <vt:lpstr>Caixas de Combinação</vt:lpstr>
      <vt:lpstr>Caixas de Combinação_Matriz</vt:lpstr>
      <vt:lpstr>Sistema de Cadastro</vt:lpstr>
      <vt:lpstr>Cadastrados</vt:lpstr>
      <vt:lpstr>BDContar</vt:lpstr>
      <vt:lpstr>BDSomar</vt:lpstr>
      <vt:lpstr>BDExtrair</vt:lpstr>
      <vt:lpstr>Função SeErro</vt:lpstr>
      <vt:lpstr>Função Escolher</vt:lpstr>
      <vt:lpstr>Gráfico</vt:lpstr>
      <vt:lpstr>Função Corresp</vt:lpstr>
      <vt:lpstr>Função Matricial</vt:lpstr>
      <vt:lpstr>Função Solver</vt:lpstr>
      <vt:lpstr>Tabela Dinâmica</vt:lpstr>
      <vt:lpstr>Resultado Tab Dinamica</vt:lpstr>
      <vt:lpstr>Folha de Pagamento</vt:lpstr>
      <vt:lpstr>Filtro Avançado com Macro</vt:lpstr>
      <vt:lpstr>Fluxo</vt:lpstr>
      <vt:lpstr>Entradas</vt:lpstr>
      <vt:lpstr>Saidas</vt:lpstr>
      <vt:lpstr>'Filtro Avançado com Macro'!Area_de_extracao</vt:lpstr>
      <vt:lpstr>'Filtro Avançado com Macro'!Criterios</vt:lpstr>
      <vt:lpstr>Dados</vt:lpstr>
      <vt:lpstr>Descontos</vt:lpstr>
      <vt:lpstr>Imc</vt:lpstr>
      <vt:lpstr>Lanches</vt:lpstr>
      <vt:lpstr>Prova</vt:lpstr>
      <vt:lpstr>Sobremesas</vt:lpstr>
      <vt:lpstr>Tab_Clientes</vt:lpstr>
      <vt:lpstr>Tab_Produtos</vt:lpstr>
      <vt:lpstr>TabelaA</vt:lpstr>
      <vt:lpstr>TabelaB</vt:lpstr>
      <vt:lpstr>Trabalho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Helena</dc:creator>
  <cp:lastModifiedBy>Helena</cp:lastModifiedBy>
  <cp:lastPrinted>2022-12-11T13:40:44Z</cp:lastPrinted>
  <dcterms:created xsi:type="dcterms:W3CDTF">2022-12-03T12:27:25Z</dcterms:created>
  <dcterms:modified xsi:type="dcterms:W3CDTF">2022-12-18T20:24:20Z</dcterms:modified>
</cp:coreProperties>
</file>